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arsoneducationinc.sharepoint.com/sites/GPDELLPOCS-SalesEnablementandGTMTeam/Shared Documents/Sales Enablement and GTM Team/02 Pricing/06 Organisation &amp; communication/ELS Pricing Project/"/>
    </mc:Choice>
  </mc:AlternateContent>
  <xr:revisionPtr revIDLastSave="51" documentId="8_{51400DA4-A10A-4394-BCBB-B11964D3D021}" xr6:coauthVersionLast="47" xr6:coauthVersionMax="47" xr10:uidLastSave="{37751397-4A40-4B2D-96CE-6BC966AA7511}"/>
  <bookViews>
    <workbookView xWindow="130" yWindow="0" windowWidth="14220" windowHeight="8170" firstSheet="3" activeTab="4" xr2:uid="{A323035F-0409-4A51-9958-6531B5F4F618}"/>
  </bookViews>
  <sheets>
    <sheet name="Definitions" sheetId="1" r:id="rId1"/>
    <sheet name="Step 1 VD Relevance" sheetId="2" r:id="rId2"/>
    <sheet name="Step 2 competition" sheetId="3" r:id="rId3"/>
    <sheet name="Step 3 Value assessment" sheetId="4" r:id="rId4"/>
    <sheet name="Step 4 Results" sheetId="5" r:id="rId5"/>
    <sheet name="Calculations" sheetId="6" r:id="rId6"/>
    <sheet name="2024 Revenue" sheetId="7" state="hidden" r:id="rId7"/>
  </sheets>
  <definedNames>
    <definedName name="_xlnm._FilterDatabase" localSheetId="5" hidden="1">Calculations!$H$57:$R$57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H11" i="4"/>
  <c r="H12" i="4"/>
  <c r="H13" i="4"/>
  <c r="H14" i="4"/>
  <c r="H15" i="4"/>
  <c r="H9" i="4"/>
  <c r="G9" i="4"/>
  <c r="G10" i="4"/>
  <c r="G11" i="4"/>
  <c r="G12" i="4"/>
  <c r="G13" i="4"/>
  <c r="G14" i="4"/>
  <c r="G15" i="4"/>
  <c r="E10" i="4"/>
  <c r="F10" i="4"/>
  <c r="E11" i="4"/>
  <c r="F11" i="4"/>
  <c r="E12" i="4"/>
  <c r="F12" i="4"/>
  <c r="E13" i="4"/>
  <c r="F13" i="4"/>
  <c r="E14" i="4"/>
  <c r="F14" i="4"/>
  <c r="E15" i="4"/>
  <c r="F15" i="4"/>
  <c r="E9" i="4"/>
  <c r="F9" i="4"/>
  <c r="D10" i="4"/>
  <c r="D11" i="4"/>
  <c r="D12" i="4"/>
  <c r="D13" i="4"/>
  <c r="D14" i="4"/>
  <c r="D15" i="4"/>
  <c r="D9" i="4"/>
  <c r="I12" i="2"/>
  <c r="I13" i="2"/>
  <c r="I14" i="2"/>
  <c r="I15" i="2"/>
  <c r="I16" i="2"/>
  <c r="I17" i="2"/>
  <c r="I11" i="2"/>
  <c r="Q59" i="6"/>
  <c r="R59" i="6" s="1"/>
  <c r="Q64" i="6"/>
  <c r="R64" i="6" s="1"/>
  <c r="Q61" i="6"/>
  <c r="Q60" i="6"/>
  <c r="Q63" i="6"/>
  <c r="Q58" i="6"/>
  <c r="Q62" i="6"/>
  <c r="C17" i="2" l="1"/>
  <c r="C16" i="2"/>
  <c r="C15" i="2"/>
  <c r="C13" i="2"/>
  <c r="C12" i="2"/>
  <c r="C14" i="2"/>
  <c r="C11" i="2"/>
  <c r="R61" i="6"/>
  <c r="R60" i="6"/>
  <c r="R62" i="6"/>
  <c r="R58" i="6"/>
  <c r="R63" i="6"/>
  <c r="F8" i="4"/>
  <c r="E8" i="4"/>
  <c r="D8" i="4"/>
  <c r="G8" i="4"/>
  <c r="B31" i="3"/>
  <c r="B30" i="3"/>
  <c r="B29" i="3"/>
  <c r="B20" i="3"/>
  <c r="B19" i="3"/>
  <c r="B18" i="3"/>
  <c r="F5" i="5"/>
  <c r="C9" i="4" l="1"/>
  <c r="D4" i="3"/>
  <c r="C4" i="5" l="1"/>
  <c r="C5" i="5" s="1"/>
  <c r="C22" i="6" l="1"/>
  <c r="I2" i="6"/>
  <c r="I26" i="6" s="1"/>
  <c r="B3" i="6"/>
  <c r="D3" i="6"/>
  <c r="D14" i="6" s="1"/>
  <c r="E3" i="6"/>
  <c r="E14" i="6" s="1"/>
  <c r="F3" i="6"/>
  <c r="F14" i="6" s="1"/>
  <c r="G3" i="6"/>
  <c r="G14" i="6" s="1"/>
  <c r="H3" i="6"/>
  <c r="H14" i="6" s="1"/>
  <c r="I3" i="6"/>
  <c r="I14" i="6" s="1"/>
  <c r="B4" i="6"/>
  <c r="D4" i="6"/>
  <c r="D15" i="6" s="1"/>
  <c r="E4" i="6"/>
  <c r="E15" i="6" s="1"/>
  <c r="F4" i="6"/>
  <c r="F15" i="6" s="1"/>
  <c r="G4" i="6"/>
  <c r="G15" i="6" s="1"/>
  <c r="H4" i="6"/>
  <c r="H15" i="6" s="1"/>
  <c r="I4" i="6"/>
  <c r="I15" i="6" s="1"/>
  <c r="B5" i="6"/>
  <c r="D5" i="6"/>
  <c r="D16" i="6" s="1"/>
  <c r="E5" i="6"/>
  <c r="E16" i="6" s="1"/>
  <c r="F5" i="6"/>
  <c r="F16" i="6" s="1"/>
  <c r="G5" i="6"/>
  <c r="G16" i="6" s="1"/>
  <c r="H5" i="6"/>
  <c r="H16" i="6" s="1"/>
  <c r="I5" i="6"/>
  <c r="I16" i="6" s="1"/>
  <c r="B6" i="6"/>
  <c r="D6" i="6"/>
  <c r="D17" i="6" s="1"/>
  <c r="E6" i="6"/>
  <c r="E17" i="6" s="1"/>
  <c r="F6" i="6"/>
  <c r="F17" i="6" s="1"/>
  <c r="G6" i="6"/>
  <c r="G17" i="6" s="1"/>
  <c r="H6" i="6"/>
  <c r="H17" i="6" s="1"/>
  <c r="I6" i="6"/>
  <c r="I17" i="6" s="1"/>
  <c r="B7" i="6"/>
  <c r="D7" i="6"/>
  <c r="D18" i="6" s="1"/>
  <c r="E7" i="6"/>
  <c r="E18" i="6" s="1"/>
  <c r="F7" i="6"/>
  <c r="F18" i="6" s="1"/>
  <c r="G7" i="6"/>
  <c r="G18" i="6" s="1"/>
  <c r="H7" i="6"/>
  <c r="H18" i="6" s="1"/>
  <c r="I7" i="6"/>
  <c r="I18" i="6" s="1"/>
  <c r="B8" i="6"/>
  <c r="D8" i="6"/>
  <c r="D19" i="6" s="1"/>
  <c r="E8" i="6"/>
  <c r="E19" i="6" s="1"/>
  <c r="F8" i="6"/>
  <c r="F19" i="6" s="1"/>
  <c r="G8" i="6"/>
  <c r="G19" i="6" s="1"/>
  <c r="H8" i="6"/>
  <c r="H19" i="6" s="1"/>
  <c r="I8" i="6"/>
  <c r="I19" i="6" s="1"/>
  <c r="B9" i="6"/>
  <c r="D9" i="6"/>
  <c r="D20" i="6" s="1"/>
  <c r="E9" i="6"/>
  <c r="E20" i="6" s="1"/>
  <c r="F9" i="6"/>
  <c r="F20" i="6" s="1"/>
  <c r="G9" i="6"/>
  <c r="G20" i="6" s="1"/>
  <c r="H9" i="6"/>
  <c r="H20" i="6" s="1"/>
  <c r="I9" i="6"/>
  <c r="I20" i="6" s="1"/>
  <c r="B10" i="6"/>
  <c r="D10" i="6"/>
  <c r="D21" i="6" s="1"/>
  <c r="E10" i="6"/>
  <c r="E21" i="6" s="1"/>
  <c r="F10" i="6"/>
  <c r="F21" i="6" s="1"/>
  <c r="G10" i="6"/>
  <c r="G21" i="6" s="1"/>
  <c r="H10" i="6"/>
  <c r="H21" i="6" s="1"/>
  <c r="I10" i="6"/>
  <c r="I21" i="6" s="1"/>
  <c r="C2" i="6"/>
  <c r="D2" i="6"/>
  <c r="D26" i="6" s="1"/>
  <c r="E2" i="6"/>
  <c r="E26" i="6" s="1"/>
  <c r="F2" i="6"/>
  <c r="F13" i="6" s="1"/>
  <c r="B2" i="6"/>
  <c r="C10" i="4"/>
  <c r="C4" i="6" s="1"/>
  <c r="C11" i="4"/>
  <c r="C5" i="6" s="1"/>
  <c r="C12" i="4"/>
  <c r="C6" i="6" s="1"/>
  <c r="C13" i="4"/>
  <c r="C7" i="6" s="1"/>
  <c r="C14" i="4"/>
  <c r="C8" i="6" s="1"/>
  <c r="C15" i="4"/>
  <c r="C9" i="6" s="1"/>
  <c r="C10" i="6"/>
  <c r="C3" i="6"/>
  <c r="H8" i="4"/>
  <c r="B33" i="3"/>
  <c r="B34" i="3"/>
  <c r="B32" i="3"/>
  <c r="F4" i="5" s="1"/>
  <c r="B21" i="3"/>
  <c r="B22" i="3"/>
  <c r="B23" i="3"/>
  <c r="H2" i="6" l="1"/>
  <c r="H13" i="6" s="1"/>
  <c r="C35" i="6" s="1"/>
  <c r="H4" i="4"/>
  <c r="D13" i="6"/>
  <c r="C31" i="6" s="1"/>
  <c r="E31" i="6" s="1"/>
  <c r="D27" i="6"/>
  <c r="C31" i="5"/>
  <c r="I27" i="6"/>
  <c r="H31" i="5"/>
  <c r="E27" i="6"/>
  <c r="D31" i="5"/>
  <c r="E13" i="6"/>
  <c r="C32" i="6" s="1"/>
  <c r="D32" i="6" s="1"/>
  <c r="G2" i="6"/>
  <c r="G13" i="6" s="1"/>
  <c r="G22" i="6" s="1"/>
  <c r="G23" i="6" s="1"/>
  <c r="C33" i="6"/>
  <c r="F22" i="6"/>
  <c r="F23" i="6" s="1"/>
  <c r="I13" i="6"/>
  <c r="F26" i="6"/>
  <c r="H26" i="6" l="1"/>
  <c r="H27" i="6" s="1"/>
  <c r="H22" i="6"/>
  <c r="H23" i="6" s="1"/>
  <c r="D31" i="6"/>
  <c r="D22" i="6"/>
  <c r="D23" i="6" s="1"/>
  <c r="C32" i="5" s="1"/>
  <c r="D33" i="5"/>
  <c r="C34" i="6"/>
  <c r="D34" i="6" s="1"/>
  <c r="F27" i="6"/>
  <c r="E31" i="5"/>
  <c r="E32" i="5" s="1"/>
  <c r="H32" i="5"/>
  <c r="H33" i="5"/>
  <c r="E32" i="6"/>
  <c r="E22" i="6"/>
  <c r="F32" i="6" s="1"/>
  <c r="G32" i="6" s="1"/>
  <c r="C33" i="5"/>
  <c r="G26" i="6"/>
  <c r="F31" i="5" s="1"/>
  <c r="E35" i="6"/>
  <c r="D35" i="6"/>
  <c r="D33" i="6"/>
  <c r="E33" i="6"/>
  <c r="F33" i="6"/>
  <c r="G33" i="6" s="1"/>
  <c r="C36" i="6"/>
  <c r="I22" i="6"/>
  <c r="I23" i="6" s="1"/>
  <c r="F35" i="6" l="1"/>
  <c r="G35" i="6" s="1"/>
  <c r="G31" i="5"/>
  <c r="G32" i="5" s="1"/>
  <c r="F31" i="6"/>
  <c r="G31" i="6" s="1"/>
  <c r="H31" i="6" s="1"/>
  <c r="F34" i="6"/>
  <c r="G34" i="6" s="1"/>
  <c r="H34" i="6" s="1"/>
  <c r="F34" i="5" s="1"/>
  <c r="E36" i="6"/>
  <c r="D36" i="6"/>
  <c r="H32" i="6"/>
  <c r="D34" i="5" s="1"/>
  <c r="E34" i="6"/>
  <c r="E23" i="6"/>
  <c r="D32" i="5" s="1"/>
  <c r="G27" i="6"/>
  <c r="L27" i="6" s="1"/>
  <c r="E33" i="5"/>
  <c r="G33" i="5"/>
  <c r="F32" i="5"/>
  <c r="H35" i="6"/>
  <c r="G34" i="5" s="1"/>
  <c r="H33" i="6"/>
  <c r="E34" i="5" s="1"/>
  <c r="F36" i="6"/>
  <c r="G36" i="6" s="1"/>
  <c r="H36" i="6" l="1"/>
  <c r="I36" i="6" s="1"/>
  <c r="C34" i="5"/>
  <c r="H34" i="5"/>
  <c r="E49" i="6"/>
  <c r="D49" i="6"/>
  <c r="J32" i="6" a="1"/>
  <c r="J32" i="6" s="1"/>
  <c r="D39" i="6"/>
  <c r="G43" i="6"/>
  <c r="J34" i="6" a="1"/>
  <c r="J34" i="6" s="1"/>
  <c r="J35" i="6" a="1"/>
  <c r="J35" i="6" s="1"/>
  <c r="J36" i="6" a="1"/>
  <c r="J36" i="6" s="1"/>
  <c r="J31" i="6" a="1"/>
  <c r="J31" i="6" s="1"/>
  <c r="B48" i="6" s="1"/>
  <c r="J33" i="6" a="1"/>
  <c r="J33" i="6" s="1"/>
  <c r="B39" i="6"/>
  <c r="G42" i="6" s="1"/>
  <c r="D45" i="6"/>
  <c r="B42" i="6"/>
  <c r="C42" i="6"/>
  <c r="C45" i="6"/>
  <c r="F42" i="6" s="1"/>
  <c r="I31" i="6"/>
  <c r="I32" i="6"/>
  <c r="F33" i="5"/>
  <c r="K27" i="6"/>
  <c r="I34" i="6"/>
  <c r="I35" i="6"/>
  <c r="I33" i="6"/>
  <c r="D42" i="6" l="1"/>
  <c r="B51" i="6"/>
  <c r="D48" i="6" l="1"/>
  <c r="E48" i="6"/>
  <c r="B54" i="6" l="1"/>
  <c r="F3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<sst xmlns="http://schemas.openxmlformats.org/spreadsheetml/2006/main" count="356" uniqueCount="294">
  <si>
    <t>Price modelling</t>
  </si>
  <si>
    <t>Value driver overview</t>
  </si>
  <si>
    <t>Value driver name</t>
  </si>
  <si>
    <t>Definition</t>
  </si>
  <si>
    <t>Brand Awareness</t>
  </si>
  <si>
    <t>The degree to which customers value a platform’s market reputation and recognition to enhance the credibility and adoption of their credentials</t>
  </si>
  <si>
    <t>Analytics</t>
  </si>
  <si>
    <t>The importance customers place on access to actionable data and insights to demonstrate program impact (ROI) and inform decision-making</t>
  </si>
  <si>
    <t>Ease of Use (Issuer)</t>
  </si>
  <si>
    <t>The extent to which customers prioritize an intuitive and efficient administrative experience to minimize effort and operational complexity</t>
  </si>
  <si>
    <t>Customer Support</t>
  </si>
  <si>
    <t>How reliable and effective buyers perceive the support experience to be in resolving issues and enabling success</t>
  </si>
  <si>
    <t>Customization</t>
  </si>
  <si>
    <t>The degree to which buyers feel the platform can be adapted to their specific branding, workflows, and requirements</t>
  </si>
  <si>
    <t>Ease of Use (Earner)</t>
  </si>
  <si>
    <t>How simple and intuitive buyers believe the experience is for end users, especially in driving engagement, completion, and sharing</t>
  </si>
  <si>
    <t>Security</t>
  </si>
  <si>
    <t>How confident buyers are in the platform’s ability to protect data, ensure compliance, and maintain credential integrity</t>
  </si>
  <si>
    <t>Market strategies</t>
  </si>
  <si>
    <t>Name</t>
  </si>
  <si>
    <t>Challenger/gain market share</t>
  </si>
  <si>
    <r>
      <t xml:space="preserve">Some markets have currently unrealized potential, due to a currently worse value proposition than the competition or an overall growth in the market. In these markets, </t>
    </r>
    <r>
      <rPr>
        <b/>
        <sz val="10"/>
        <color rgb="FF000000"/>
        <rFont val="Aptos Narrow"/>
        <family val="2"/>
        <scheme val="minor"/>
      </rPr>
      <t>pricing lower than the competition</t>
    </r>
    <r>
      <rPr>
        <sz val="10"/>
        <color rgb="FF000000"/>
        <rFont val="Aptos Narrow"/>
        <family val="2"/>
        <scheme val="minor"/>
      </rPr>
      <t xml:space="preserve">/lower than the provided value can help in </t>
    </r>
    <r>
      <rPr>
        <b/>
        <sz val="10"/>
        <color rgb="FF000000"/>
        <rFont val="Aptos Narrow"/>
        <family val="2"/>
        <scheme val="minor"/>
      </rPr>
      <t>growing the market share</t>
    </r>
    <r>
      <rPr>
        <sz val="10"/>
        <color rgb="FF000000"/>
        <rFont val="Aptos Narrow"/>
        <family val="2"/>
        <scheme val="minor"/>
      </rPr>
      <t xml:space="preserve"> and maximize profitability in the long term.</t>
    </r>
  </si>
  <si>
    <t>On par/no special objective</t>
  </si>
  <si>
    <r>
      <t xml:space="preserve">Default option. In competitive markets, products should be </t>
    </r>
    <r>
      <rPr>
        <b/>
        <sz val="10"/>
        <color rgb="FF000000"/>
        <rFont val="Aptos Narrow"/>
        <family val="2"/>
        <scheme val="minor"/>
      </rPr>
      <t>priced according to the value they provid</t>
    </r>
    <r>
      <rPr>
        <sz val="10"/>
        <color rgb="FF000000"/>
        <rFont val="Aptos Narrow"/>
        <family val="2"/>
        <scheme val="minor"/>
      </rPr>
      <t xml:space="preserve">e and </t>
    </r>
    <r>
      <rPr>
        <b/>
        <sz val="10"/>
        <color rgb="FF000000"/>
        <rFont val="Aptos Narrow"/>
        <family val="2"/>
        <scheme val="minor"/>
      </rPr>
      <t>value differences</t>
    </r>
    <r>
      <rPr>
        <sz val="10"/>
        <color rgb="FF000000"/>
        <rFont val="Aptos Narrow"/>
        <family val="2"/>
        <scheme val="minor"/>
      </rPr>
      <t xml:space="preserve"> between competitors should be </t>
    </r>
    <r>
      <rPr>
        <b/>
        <sz val="10"/>
        <color rgb="FF000000"/>
        <rFont val="Aptos Narrow"/>
        <family val="2"/>
        <scheme val="minor"/>
      </rPr>
      <t>reflected in the prices</t>
    </r>
    <r>
      <rPr>
        <sz val="10"/>
        <color rgb="FF000000"/>
        <rFont val="Aptos Narrow"/>
        <family val="2"/>
        <scheme val="minor"/>
      </rPr>
      <t xml:space="preserve"> of products.</t>
    </r>
  </si>
  <si>
    <t>Market leader/defend market share</t>
  </si>
  <si>
    <r>
      <t>In markets, in which PTE is already in a dominant position but competitors are trying to buy market share, one possible strategy is to</t>
    </r>
    <r>
      <rPr>
        <b/>
        <sz val="10"/>
        <color rgb="FF000000"/>
        <rFont val="Aptos Narrow"/>
        <family val="2"/>
        <scheme val="minor"/>
      </rPr>
      <t xml:space="preserve"> price (slightly) lower than the provided value</t>
    </r>
    <r>
      <rPr>
        <sz val="10"/>
        <color rgb="FF000000"/>
        <rFont val="Aptos Narrow"/>
        <family val="2"/>
        <scheme val="minor"/>
      </rPr>
      <t xml:space="preserve"> in order to</t>
    </r>
    <r>
      <rPr>
        <b/>
        <sz val="10"/>
        <color rgb="FF000000"/>
        <rFont val="Aptos Narrow"/>
        <family val="2"/>
        <scheme val="minor"/>
      </rPr>
      <t xml:space="preserve"> prevent competitors from gaining market share</t>
    </r>
    <r>
      <rPr>
        <sz val="10"/>
        <color rgb="FF000000"/>
        <rFont val="Aptos Narrow"/>
        <family val="2"/>
        <scheme val="minor"/>
      </rPr>
      <t>.</t>
    </r>
  </si>
  <si>
    <t>Margin skimming</t>
  </si>
  <si>
    <r>
      <t xml:space="preserve">Markets can become less attractive if they are showing signs of a decline of the overall customer base or increasing difficulties of conducting business. In these markets, a </t>
    </r>
    <r>
      <rPr>
        <b/>
        <sz val="10"/>
        <color rgb="FF000000"/>
        <rFont val="Aptos Narrow"/>
        <family val="2"/>
        <scheme val="minor"/>
      </rPr>
      <t>premium can be charged</t>
    </r>
    <r>
      <rPr>
        <sz val="10"/>
        <color rgb="FF000000"/>
        <rFont val="Aptos Narrow"/>
        <family val="2"/>
        <scheme val="minor"/>
      </rPr>
      <t xml:space="preserve"> in order to </t>
    </r>
    <r>
      <rPr>
        <b/>
        <sz val="10"/>
        <color rgb="FF000000"/>
        <rFont val="Aptos Narrow"/>
        <family val="2"/>
        <scheme val="minor"/>
      </rPr>
      <t>maximize profitability</t>
    </r>
    <r>
      <rPr>
        <sz val="10"/>
        <color rgb="FF000000"/>
        <rFont val="Aptos Narrow"/>
        <family val="2"/>
        <scheme val="minor"/>
      </rPr>
      <t xml:space="preserve"> from a declining number of customers.</t>
    </r>
  </si>
  <si>
    <t>Calculation modifiers</t>
  </si>
  <si>
    <r>
      <t xml:space="preserve">See definitions above. For each of the strategic market objectives, a </t>
    </r>
    <r>
      <rPr>
        <b/>
        <sz val="10"/>
        <color rgb="FF000000"/>
        <rFont val="Aptos Narrow"/>
        <family val="2"/>
        <scheme val="minor"/>
      </rPr>
      <t>positive or negative percentage in-/decrease</t>
    </r>
    <r>
      <rPr>
        <sz val="10"/>
        <color rgb="FF000000"/>
        <rFont val="Aptos Narrow"/>
        <family val="2"/>
        <scheme val="minor"/>
      </rPr>
      <t xml:space="preserve"> in price calculation can be added. These determine </t>
    </r>
    <r>
      <rPr>
        <b/>
        <sz val="10"/>
        <color rgb="FF000000"/>
        <rFont val="Aptos Narrow"/>
        <family val="2"/>
        <scheme val="minor"/>
      </rPr>
      <t>how aggressively these objectives are followed</t>
    </r>
    <r>
      <rPr>
        <sz val="10"/>
        <color rgb="FF000000"/>
        <rFont val="Aptos Narrow"/>
        <family val="2"/>
        <scheme val="minor"/>
      </rPr>
      <t xml:space="preserve"> and need to be defined globally, per region, or per country.</t>
    </r>
  </si>
  <si>
    <t>Max contribution per value driver</t>
  </si>
  <si>
    <r>
      <t xml:space="preserve">This modifier defines how high the </t>
    </r>
    <r>
      <rPr>
        <b/>
        <sz val="10"/>
        <color rgb="FF000000"/>
        <rFont val="Aptos Narrow"/>
        <family val="2"/>
        <scheme val="minor"/>
      </rPr>
      <t>maximum price in-/decrease</t>
    </r>
    <r>
      <rPr>
        <sz val="10"/>
        <color rgb="FF000000"/>
        <rFont val="Aptos Narrow"/>
        <family val="2"/>
        <scheme val="minor"/>
      </rPr>
      <t xml:space="preserve"> can be for a </t>
    </r>
    <r>
      <rPr>
        <b/>
        <sz val="10"/>
        <color rgb="FF000000"/>
        <rFont val="Aptos Narrow"/>
        <family val="2"/>
        <scheme val="minor"/>
      </rPr>
      <t>single value driver</t>
    </r>
    <r>
      <rPr>
        <sz val="10"/>
        <color rgb="FF000000"/>
        <rFont val="Aptos Narrow"/>
        <family val="2"/>
        <scheme val="minor"/>
      </rPr>
      <t xml:space="preserve"> that has the highest importance and a strong negative or positive performance. The contribution of all </t>
    </r>
    <r>
      <rPr>
        <b/>
        <sz val="10"/>
        <color rgb="FF000000"/>
        <rFont val="Aptos Narrow"/>
        <family val="2"/>
        <scheme val="minor"/>
      </rPr>
      <t>other value drivers is derived from this value.</t>
    </r>
  </si>
  <si>
    <t>Max total price range</t>
  </si>
  <si>
    <r>
      <t xml:space="preserve">This is </t>
    </r>
    <r>
      <rPr>
        <b/>
        <sz val="10"/>
        <color rgb="FF000000"/>
        <rFont val="Aptos Narrow"/>
        <family val="2"/>
        <scheme val="minor"/>
      </rPr>
      <t>calculated directly</t>
    </r>
    <r>
      <rPr>
        <sz val="10"/>
        <color rgb="FF000000"/>
        <rFont val="Aptos Narrow"/>
        <family val="2"/>
        <scheme val="minor"/>
      </rPr>
      <t xml:space="preserve"> from the "Max contribution per value driver" and shows how </t>
    </r>
    <r>
      <rPr>
        <b/>
        <sz val="10"/>
        <color rgb="FF000000"/>
        <rFont val="Aptos Narrow"/>
        <family val="2"/>
        <scheme val="minor"/>
      </rPr>
      <t xml:space="preserve">big the maximum achievable price de/-increase </t>
    </r>
    <r>
      <rPr>
        <sz val="10"/>
        <color rgb="FF000000"/>
        <rFont val="Aptos Narrow"/>
        <family val="2"/>
        <scheme val="minor"/>
      </rPr>
      <t>would be if all value drivers had the strongest negative/positive performance rating.</t>
    </r>
  </si>
  <si>
    <t>Step 1: Value Driver Relevance</t>
  </si>
  <si>
    <t>Please specify the market for this exercise:</t>
  </si>
  <si>
    <t>USA</t>
  </si>
  <si>
    <t>Please specify the persona for this exercise:</t>
  </si>
  <si>
    <t>Please rank these value drivers based on their relevance to the test taker</t>
  </si>
  <si>
    <t>1 = most important; 7 = least important</t>
  </si>
  <si>
    <t>Value driver</t>
  </si>
  <si>
    <t>Rank</t>
  </si>
  <si>
    <t>Workshop avg. rank</t>
  </si>
  <si>
    <t>Please make sure to rank all 7 Value Drivers</t>
  </si>
  <si>
    <t>You are good to go. Please proceed to Step 2.</t>
  </si>
  <si>
    <t>Step 2: Market Situation</t>
  </si>
  <si>
    <t>Which are the most relevant competitors in the market?</t>
  </si>
  <si>
    <t>Competitor name</t>
  </si>
  <si>
    <t>Credly</t>
  </si>
  <si>
    <t>Accredible</t>
  </si>
  <si>
    <t>(enter name here)</t>
  </si>
  <si>
    <t>Fill in the prices (in USD) of the competitors you added</t>
  </si>
  <si>
    <t>Price</t>
  </si>
  <si>
    <t>Please give an estimate of the relative market share of each competitor</t>
  </si>
  <si>
    <t>Market share</t>
  </si>
  <si>
    <t>Please fill in a price and market share for all relevant competitors</t>
  </si>
  <si>
    <t>You are good to go. Please proceed to Step 3.</t>
  </si>
  <si>
    <t>Step 3: Competition Value Assessment</t>
  </si>
  <si>
    <t>Please evaluate each competitor's performance on each of the value drivers from -2 to +2</t>
  </si>
  <si>
    <t>0 = market average; 2 = leading the market; -2 = significantly lacking</t>
  </si>
  <si>
    <t>Please assess the performance for all value drivers for all relevant competitors.</t>
  </si>
  <si>
    <t>Step 4: Results and Price Recommendation</t>
  </si>
  <si>
    <t>Market:</t>
  </si>
  <si>
    <t>Current market leader:</t>
  </si>
  <si>
    <t>2024 revenue (USD):</t>
  </si>
  <si>
    <t>Current Credly market share</t>
  </si>
  <si>
    <t>Competitor</t>
  </si>
  <si>
    <t>Value Score</t>
  </si>
  <si>
    <t>Price per Value</t>
  </si>
  <si>
    <t>Recommended Price range</t>
  </si>
  <si>
    <t>USD</t>
  </si>
  <si>
    <t>Results</t>
  </si>
  <si>
    <t>Scoring</t>
  </si>
  <si>
    <t>Percentage</t>
  </si>
  <si>
    <t>Min</t>
  </si>
  <si>
    <t>Max</t>
  </si>
  <si>
    <t>Total</t>
  </si>
  <si>
    <t>Adj</t>
  </si>
  <si>
    <t>Prices</t>
  </si>
  <si>
    <t>Competitors</t>
  </si>
  <si>
    <t>Value score</t>
  </si>
  <si>
    <t>Value score adj</t>
  </si>
  <si>
    <t>PPV</t>
  </si>
  <si>
    <t>Weigh PPV</t>
  </si>
  <si>
    <t>Calculated price</t>
  </si>
  <si>
    <t>Market-weighted average price</t>
  </si>
  <si>
    <t>Market-weighted average value</t>
  </si>
  <si>
    <t>Anchor line</t>
  </si>
  <si>
    <t>Min value</t>
  </si>
  <si>
    <t>Max value</t>
  </si>
  <si>
    <t>Value range</t>
  </si>
  <si>
    <t>Mid</t>
  </si>
  <si>
    <t>Floor price level</t>
  </si>
  <si>
    <t>Floor price</t>
  </si>
  <si>
    <t>Max Price</t>
  </si>
  <si>
    <t>Recommended Price</t>
  </si>
  <si>
    <t>Price min</t>
  </si>
  <si>
    <t>Price max</t>
  </si>
  <si>
    <t>Price rounded</t>
  </si>
  <si>
    <t>Price range</t>
  </si>
  <si>
    <t>Country</t>
  </si>
  <si>
    <t>Revenue 2024</t>
  </si>
  <si>
    <t>Value driver analysis</t>
  </si>
  <si>
    <t>Australia</t>
  </si>
  <si>
    <t>X</t>
  </si>
  <si>
    <t>China</t>
  </si>
  <si>
    <t>India</t>
  </si>
  <si>
    <t>Nepal</t>
  </si>
  <si>
    <t>O</t>
  </si>
  <si>
    <t>Canada</t>
  </si>
  <si>
    <t>Pakistan</t>
  </si>
  <si>
    <t>Philippines</t>
  </si>
  <si>
    <t>United Kingdom</t>
  </si>
  <si>
    <t>New Zealand</t>
  </si>
  <si>
    <t>Sri Lanka</t>
  </si>
  <si>
    <t>United Arab Emirates</t>
  </si>
  <si>
    <t>Turkiye</t>
  </si>
  <si>
    <t>Saudi Arabia</t>
  </si>
  <si>
    <t>Viet Nam</t>
  </si>
  <si>
    <t>Korea, South</t>
  </si>
  <si>
    <t>Bangladesh</t>
  </si>
  <si>
    <t>Singapore</t>
  </si>
  <si>
    <t>United States</t>
  </si>
  <si>
    <t>Hong Kong</t>
  </si>
  <si>
    <t>South Africa</t>
  </si>
  <si>
    <t>Malaysia</t>
  </si>
  <si>
    <t>Qatar</t>
  </si>
  <si>
    <t>Egypt</t>
  </si>
  <si>
    <t>Thailand</t>
  </si>
  <si>
    <t>Fiji</t>
  </si>
  <si>
    <t>Indonesia</t>
  </si>
  <si>
    <t>Bhutan</t>
  </si>
  <si>
    <t>Taiwan</t>
  </si>
  <si>
    <t>Kuwait</t>
  </si>
  <si>
    <t>Zimbabwe</t>
  </si>
  <si>
    <t>Kenya</t>
  </si>
  <si>
    <t>Bahrain</t>
  </si>
  <si>
    <t>Nigeria</t>
  </si>
  <si>
    <t>Brazil</t>
  </si>
  <si>
    <t>Japan</t>
  </si>
  <si>
    <t>Ireland</t>
  </si>
  <si>
    <t>Oman</t>
  </si>
  <si>
    <t>Iraq</t>
  </si>
  <si>
    <t>Germany</t>
  </si>
  <si>
    <t>Jordan</t>
  </si>
  <si>
    <t>France</t>
  </si>
  <si>
    <t>Spain</t>
  </si>
  <si>
    <t>Norway</t>
  </si>
  <si>
    <t>Netherlands</t>
  </si>
  <si>
    <t>Papua New Guinea</t>
  </si>
  <si>
    <t>Israel</t>
  </si>
  <si>
    <t>Denmark</t>
  </si>
  <si>
    <t>Ghana</t>
  </si>
  <si>
    <t>Italy</t>
  </si>
  <si>
    <t>Cyprus</t>
  </si>
  <si>
    <t>Finland</t>
  </si>
  <si>
    <t>Belgium</t>
  </si>
  <si>
    <t>Macao</t>
  </si>
  <si>
    <t>Switzerland</t>
  </si>
  <si>
    <t>Poland</t>
  </si>
  <si>
    <t>Sweden</t>
  </si>
  <si>
    <t>Colombia</t>
  </si>
  <si>
    <t>Cambodia</t>
  </si>
  <si>
    <t>Chile</t>
  </si>
  <si>
    <t>Mongolia</t>
  </si>
  <si>
    <t>Mexico</t>
  </si>
  <si>
    <t>Peru</t>
  </si>
  <si>
    <t>Myanmar</t>
  </si>
  <si>
    <t>Lebanon</t>
  </si>
  <si>
    <t>Austria</t>
  </si>
  <si>
    <t>Portugal</t>
  </si>
  <si>
    <t>Romania</t>
  </si>
  <si>
    <t>Brunei Darussalam</t>
  </si>
  <si>
    <t>Armenia</t>
  </si>
  <si>
    <t>Argentina</t>
  </si>
  <si>
    <t>Malta</t>
  </si>
  <si>
    <t>Ethiopia</t>
  </si>
  <si>
    <t>Kazakhstan</t>
  </si>
  <si>
    <t>Ecuador</t>
  </si>
  <si>
    <t>Mauritius</t>
  </si>
  <si>
    <t>Azerbaijan</t>
  </si>
  <si>
    <t>Morocco</t>
  </si>
  <si>
    <t>Hungary</t>
  </si>
  <si>
    <t>Czech Republic</t>
  </si>
  <si>
    <t>Serbia</t>
  </si>
  <si>
    <t>Dominican Republic</t>
  </si>
  <si>
    <t>Zambia</t>
  </si>
  <si>
    <t>Uzbekistan</t>
  </si>
  <si>
    <t>Botswana</t>
  </si>
  <si>
    <t>Estonia</t>
  </si>
  <si>
    <t>Namibia</t>
  </si>
  <si>
    <t>Tanzania</t>
  </si>
  <si>
    <t>Ukraine</t>
  </si>
  <si>
    <t>Georgia</t>
  </si>
  <si>
    <t>Slovenia</t>
  </si>
  <si>
    <t>Occupied Palestinian Territories</t>
  </si>
  <si>
    <t>Albania</t>
  </si>
  <si>
    <t>Latvia</t>
  </si>
  <si>
    <t>Cameroon</t>
  </si>
  <si>
    <t>North Macedonia</t>
  </si>
  <si>
    <t>Trinidad and Tobago</t>
  </si>
  <si>
    <t>Lithuania</t>
  </si>
  <si>
    <t>Malawi</t>
  </si>
  <si>
    <t>Panama</t>
  </si>
  <si>
    <t>Uganda</t>
  </si>
  <si>
    <t>Greece</t>
  </si>
  <si>
    <t>Algeria</t>
  </si>
  <si>
    <t>Tunisia</t>
  </si>
  <si>
    <t>Rwanda</t>
  </si>
  <si>
    <t>Madagascar</t>
  </si>
  <si>
    <t>Croatia</t>
  </si>
  <si>
    <t>Mozambique</t>
  </si>
  <si>
    <t>Bulgaria</t>
  </si>
  <si>
    <t>Turkmenistan</t>
  </si>
  <si>
    <t>Jamaica</t>
  </si>
  <si>
    <t>Puerto Rico</t>
  </si>
  <si>
    <t>Kyrgyzstan</t>
  </si>
  <si>
    <t>Tajikistan</t>
  </si>
  <si>
    <t>Montenegro</t>
  </si>
  <si>
    <t>Senegal</t>
  </si>
  <si>
    <t>Venezuela</t>
  </si>
  <si>
    <t>Bosnia and Herzegovina</t>
  </si>
  <si>
    <t>Slovakia</t>
  </si>
  <si>
    <t>Libya</t>
  </si>
  <si>
    <t>Russian Federation</t>
  </si>
  <si>
    <t>Costa Rica</t>
  </si>
  <si>
    <t>Solomon Islands</t>
  </si>
  <si>
    <t>Iceland</t>
  </si>
  <si>
    <t>American Samoa</t>
  </si>
  <si>
    <t>Lao Peoples Democratic Republic</t>
  </si>
  <si>
    <t>Paraguay</t>
  </si>
  <si>
    <t>Belarus</t>
  </si>
  <si>
    <t>Virgin Islands, US</t>
  </si>
  <si>
    <t>Guam</t>
  </si>
  <si>
    <t>Afghanistan</t>
  </si>
  <si>
    <t>Somalia</t>
  </si>
  <si>
    <t>Yemen</t>
  </si>
  <si>
    <t>Cote d'Ivoire</t>
  </si>
  <si>
    <t>Seychelles</t>
  </si>
  <si>
    <t>Guinea</t>
  </si>
  <si>
    <t>Saint Lucia</t>
  </si>
  <si>
    <t>Guatemala</t>
  </si>
  <si>
    <t>Bahamas</t>
  </si>
  <si>
    <t>Haiti</t>
  </si>
  <si>
    <t>Luxembourg</t>
  </si>
  <si>
    <t>Timor-Leste</t>
  </si>
  <si>
    <t>El Salvador</t>
  </si>
  <si>
    <t>Anguilla</t>
  </si>
  <si>
    <t>Congo, The Democratic Republic</t>
  </si>
  <si>
    <t>Samoa</t>
  </si>
  <si>
    <t>Djibouti</t>
  </si>
  <si>
    <t>Eswatini</t>
  </si>
  <si>
    <t>Angola</t>
  </si>
  <si>
    <t>Honduras</t>
  </si>
  <si>
    <t>Mali</t>
  </si>
  <si>
    <t>Liberia</t>
  </si>
  <si>
    <t>Cook Islands</t>
  </si>
  <si>
    <t>Moldova</t>
  </si>
  <si>
    <t>Dominica</t>
  </si>
  <si>
    <t>Bermuda</t>
  </si>
  <si>
    <t>Niger</t>
  </si>
  <si>
    <t>Vanuatu</t>
  </si>
  <si>
    <t>Antigua and Barbuda</t>
  </si>
  <si>
    <t>Maldives</t>
  </si>
  <si>
    <t>Cayman Islands</t>
  </si>
  <si>
    <t>South Sudan</t>
  </si>
  <si>
    <t>Barbados</t>
  </si>
  <si>
    <t>Uruguay</t>
  </si>
  <si>
    <t>Lesotho</t>
  </si>
  <si>
    <t>Equatorial Guinea</t>
  </si>
  <si>
    <t>Monaco</t>
  </si>
  <si>
    <t>Gabon</t>
  </si>
  <si>
    <t>Martinique</t>
  </si>
  <si>
    <t>Liechtenstein</t>
  </si>
  <si>
    <t>Sierra Leone</t>
  </si>
  <si>
    <t>Burkina Faso</t>
  </si>
  <si>
    <t>(blank)</t>
  </si>
  <si>
    <t>Iran</t>
  </si>
  <si>
    <t>Gambia</t>
  </si>
  <si>
    <t>Rank CW</t>
  </si>
  <si>
    <t>Rank EP</t>
  </si>
  <si>
    <t>Rank NG</t>
  </si>
  <si>
    <t>Rank Final</t>
  </si>
  <si>
    <t>Rank KL</t>
  </si>
  <si>
    <t>Rank BG</t>
  </si>
  <si>
    <t>EP</t>
  </si>
  <si>
    <t>NG</t>
  </si>
  <si>
    <t>CW</t>
  </si>
  <si>
    <t>KL</t>
  </si>
  <si>
    <t>BG</t>
  </si>
  <si>
    <t>HigherED &amp; Associations</t>
  </si>
  <si>
    <t>Parchment</t>
  </si>
  <si>
    <t>Canvas</t>
  </si>
  <si>
    <t>Territorium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</si>
</sst>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D004D"/>
      <name val="Aptos Narrow"/>
      <family val="2"/>
      <scheme val="minor"/>
    </font>
    <font>
      <sz val="11"/>
      <color rgb="FF0D004D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004D"/>
        <bgColor indexed="64"/>
      </patternFill>
    </fill>
    <fill>
      <patternFill patternType="solid">
        <fgColor rgb="FFA593FF"/>
        <bgColor indexed="64"/>
      </patternFill>
    </fill>
    <fill>
      <patternFill patternType="solid">
        <fgColor rgb="FFDBD4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D004D"/>
      </left>
      <right style="thin">
        <color rgb="FF0D004D"/>
      </right>
      <top style="thin">
        <color rgb="FF0D004D"/>
      </top>
      <bottom style="thin">
        <color rgb="FF0D004D"/>
      </bottom>
      <diagonal/>
    </border>
    <border>
      <left style="thin">
        <color rgb="FF0D004D"/>
      </left>
      <right/>
      <top style="thin">
        <color rgb="FF0D004D"/>
      </top>
      <bottom style="thin">
        <color rgb="FF0D004D"/>
      </bottom>
      <diagonal/>
    </border>
    <border>
      <left/>
      <right style="thin">
        <color rgb="FF0D004D"/>
      </right>
      <top style="thin">
        <color rgb="FF0D004D"/>
      </top>
      <bottom style="thin">
        <color rgb="FF0D004D"/>
      </bottom>
      <diagonal/>
    </border>
    <border>
      <left style="thin">
        <color rgb="FF0D004D"/>
      </left>
      <right/>
      <top style="thin">
        <color rgb="FF0D004D"/>
      </top>
      <bottom/>
      <diagonal/>
    </border>
    <border>
      <left/>
      <right style="thin">
        <color rgb="FF0D004D"/>
      </right>
      <top style="thin">
        <color rgb="FF0D004D"/>
      </top>
      <bottom/>
      <diagonal/>
    </border>
    <border>
      <left style="thin">
        <color rgb="FF0D004D"/>
      </left>
      <right/>
      <top/>
      <bottom style="thin">
        <color rgb="FF0D004D"/>
      </bottom>
      <diagonal/>
    </border>
    <border>
      <left/>
      <right style="thin">
        <color rgb="FF0D004D"/>
      </right>
      <top/>
      <bottom style="thin">
        <color rgb="FF0D004D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indexed="64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vertical="center"/>
    </xf>
    <xf numFmtId="0" fontId="0" fillId="0" borderId="5" xfId="0" applyBorder="1"/>
    <xf numFmtId="0" fontId="4" fillId="3" borderId="0" xfId="0" applyFont="1" applyFill="1"/>
    <xf numFmtId="0" fontId="2" fillId="3" borderId="0" xfId="0" applyFont="1" applyFill="1"/>
    <xf numFmtId="0" fontId="0" fillId="0" borderId="7" xfId="0" applyBorder="1"/>
    <xf numFmtId="0" fontId="2" fillId="3" borderId="6" xfId="0" applyFont="1" applyFill="1" applyBorder="1"/>
    <xf numFmtId="0" fontId="8" fillId="4" borderId="0" xfId="0" applyFont="1" applyFill="1"/>
    <xf numFmtId="0" fontId="7" fillId="4" borderId="0" xfId="0" applyFont="1" applyFill="1"/>
    <xf numFmtId="0" fontId="0" fillId="4" borderId="0" xfId="0" applyFill="1"/>
    <xf numFmtId="9" fontId="0" fillId="0" borderId="0" xfId="1" applyFont="1" applyBorder="1"/>
    <xf numFmtId="4" fontId="0" fillId="0" borderId="0" xfId="0" applyNumberFormat="1"/>
    <xf numFmtId="0" fontId="3" fillId="0" borderId="0" xfId="0" applyFont="1"/>
    <xf numFmtId="0" fontId="3" fillId="0" borderId="5" xfId="0" applyFont="1" applyBorder="1"/>
    <xf numFmtId="164" fontId="0" fillId="0" borderId="5" xfId="1" applyNumberFormat="1" applyFont="1" applyBorder="1"/>
    <xf numFmtId="164" fontId="3" fillId="0" borderId="5" xfId="0" applyNumberFormat="1" applyFont="1" applyBorder="1"/>
    <xf numFmtId="4" fontId="3" fillId="0" borderId="5" xfId="0" applyNumberFormat="1" applyFont="1" applyBorder="1"/>
    <xf numFmtId="164" fontId="3" fillId="0" borderId="7" xfId="0" applyNumberFormat="1" applyFont="1" applyBorder="1"/>
    <xf numFmtId="4" fontId="3" fillId="0" borderId="7" xfId="0" applyNumberFormat="1" applyFont="1" applyBorder="1"/>
    <xf numFmtId="0" fontId="0" fillId="0" borderId="9" xfId="0" applyBorder="1"/>
    <xf numFmtId="164" fontId="0" fillId="0" borderId="9" xfId="1" applyNumberFormat="1" applyFont="1" applyBorder="1"/>
    <xf numFmtId="2" fontId="0" fillId="0" borderId="0" xfId="0" applyNumberFormat="1"/>
    <xf numFmtId="4" fontId="0" fillId="0" borderId="5" xfId="0" applyNumberFormat="1" applyBorder="1"/>
    <xf numFmtId="165" fontId="0" fillId="0" borderId="5" xfId="0" applyNumberFormat="1" applyBorder="1"/>
    <xf numFmtId="2" fontId="0" fillId="0" borderId="5" xfId="0" applyNumberFormat="1" applyBorder="1"/>
    <xf numFmtId="0" fontId="7" fillId="0" borderId="5" xfId="0" applyFont="1" applyBorder="1"/>
    <xf numFmtId="0" fontId="7" fillId="4" borderId="11" xfId="0" applyFont="1" applyFill="1" applyBorder="1"/>
    <xf numFmtId="0" fontId="7" fillId="4" borderId="12" xfId="0" applyFont="1" applyFill="1" applyBorder="1"/>
    <xf numFmtId="0" fontId="7" fillId="4" borderId="13" xfId="0" applyFont="1" applyFill="1" applyBorder="1"/>
    <xf numFmtId="0" fontId="8" fillId="4" borderId="14" xfId="0" applyFont="1" applyFill="1" applyBorder="1"/>
    <xf numFmtId="0" fontId="7" fillId="4" borderId="15" xfId="0" applyFont="1" applyFill="1" applyBorder="1"/>
    <xf numFmtId="0" fontId="8" fillId="4" borderId="16" xfId="0" applyFont="1" applyFill="1" applyBorder="1"/>
    <xf numFmtId="0" fontId="0" fillId="0" borderId="10" xfId="0" applyBorder="1" applyAlignment="1">
      <alignment horizontal="right"/>
    </xf>
    <xf numFmtId="0" fontId="10" fillId="5" borderId="4" xfId="0" applyFont="1" applyFill="1" applyBorder="1" applyAlignment="1">
      <alignment horizontal="left" vertical="center" wrapText="1" readingOrder="1"/>
    </xf>
    <xf numFmtId="0" fontId="4" fillId="0" borderId="0" xfId="0" applyFont="1"/>
    <xf numFmtId="0" fontId="12" fillId="6" borderId="17" xfId="0" applyFont="1" applyFill="1" applyBorder="1"/>
    <xf numFmtId="0" fontId="12" fillId="6" borderId="18" xfId="0" applyFont="1" applyFill="1" applyBorder="1"/>
    <xf numFmtId="0" fontId="13" fillId="6" borderId="19" xfId="0" applyFont="1" applyFill="1" applyBorder="1"/>
    <xf numFmtId="0" fontId="9" fillId="7" borderId="18" xfId="0" applyFont="1" applyFill="1" applyBorder="1" applyAlignment="1">
      <alignment horizontal="right"/>
    </xf>
    <xf numFmtId="0" fontId="9" fillId="7" borderId="20" xfId="0" applyFont="1" applyFill="1" applyBorder="1" applyAlignment="1">
      <alignment horizontal="right"/>
    </xf>
    <xf numFmtId="0" fontId="2" fillId="3" borderId="21" xfId="0" applyFont="1" applyFill="1" applyBorder="1"/>
    <xf numFmtId="0" fontId="14" fillId="2" borderId="21" xfId="0" applyFont="1" applyFill="1" applyBorder="1" applyAlignment="1">
      <alignment horizontal="right"/>
    </xf>
    <xf numFmtId="3" fontId="14" fillId="2" borderId="21" xfId="0" applyNumberFormat="1" applyFont="1" applyFill="1" applyBorder="1" applyAlignment="1">
      <alignment horizontal="right"/>
    </xf>
    <xf numFmtId="9" fontId="14" fillId="2" borderId="21" xfId="0" applyNumberFormat="1" applyFont="1" applyFill="1" applyBorder="1" applyAlignment="1">
      <alignment horizontal="right"/>
    </xf>
    <xf numFmtId="0" fontId="2" fillId="10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 vertical="center"/>
    </xf>
    <xf numFmtId="49" fontId="2" fillId="10" borderId="4" xfId="0" applyNumberFormat="1" applyFont="1" applyFill="1" applyBorder="1" applyAlignment="1">
      <alignment vertical="center"/>
    </xf>
    <xf numFmtId="0" fontId="10" fillId="0" borderId="23" xfId="0" applyFont="1" applyBorder="1" applyAlignment="1">
      <alignment horizontal="left" vertical="center" wrapText="1" indent="1" readingOrder="1"/>
    </xf>
    <xf numFmtId="0" fontId="10" fillId="0" borderId="25" xfId="0" applyFont="1" applyBorder="1" applyAlignment="1">
      <alignment horizontal="left" vertical="center" wrapText="1" indent="1" readingOrder="1"/>
    </xf>
    <xf numFmtId="0" fontId="10" fillId="0" borderId="27" xfId="0" applyFont="1" applyBorder="1" applyAlignment="1">
      <alignment horizontal="left" vertical="center" wrapText="1" indent="1" readingOrder="1"/>
    </xf>
    <xf numFmtId="0" fontId="11" fillId="5" borderId="22" xfId="0" applyFont="1" applyFill="1" applyBorder="1" applyAlignment="1">
      <alignment horizontal="left" vertical="center" wrapText="1" indent="1" readingOrder="1"/>
    </xf>
    <xf numFmtId="0" fontId="11" fillId="5" borderId="24" xfId="0" applyFont="1" applyFill="1" applyBorder="1" applyAlignment="1">
      <alignment horizontal="left" vertical="center" wrapText="1" indent="1" readingOrder="1"/>
    </xf>
    <xf numFmtId="0" fontId="11" fillId="5" borderId="26" xfId="0" applyFont="1" applyFill="1" applyBorder="1" applyAlignment="1">
      <alignment horizontal="left" vertical="center" wrapText="1" indent="1" readingOrder="1"/>
    </xf>
    <xf numFmtId="0" fontId="2" fillId="11" borderId="1" xfId="0" applyFont="1" applyFill="1" applyBorder="1" applyAlignment="1">
      <alignment horizontal="left" vertical="center" indent="1"/>
    </xf>
    <xf numFmtId="165" fontId="0" fillId="0" borderId="0" xfId="0" applyNumberFormat="1"/>
    <xf numFmtId="9" fontId="0" fillId="0" borderId="0" xfId="0" applyNumberFormat="1"/>
    <xf numFmtId="2" fontId="0" fillId="0" borderId="5" xfId="1" applyNumberFormat="1" applyFont="1" applyBorder="1"/>
    <xf numFmtId="4" fontId="17" fillId="0" borderId="0" xfId="0" applyNumberFormat="1" applyFont="1"/>
    <xf numFmtId="1" fontId="0" fillId="0" borderId="5" xfId="0" applyNumberFormat="1" applyBorder="1"/>
    <xf numFmtId="1" fontId="0" fillId="0" borderId="0" xfId="0" applyNumberFormat="1"/>
    <xf numFmtId="3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16" fillId="2" borderId="0" xfId="2" applyFont="1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/>
    </xf>
    <xf numFmtId="0" fontId="6" fillId="9" borderId="0" xfId="0" applyFont="1" applyFill="1" applyAlignment="1">
      <alignment horizontal="center" vertical="center"/>
    </xf>
    <xf numFmtId="0" fontId="0" fillId="0" borderId="5" xfId="0" applyBorder="1"/>
    <xf numFmtId="0" fontId="0" fillId="0" borderId="5" xfId="0" applyBorder="1"/>
    <xf numFmtId="0" fontId="2" fillId="3" borderId="0" xfId="0" applyFont="1" applyFill="1"/>
    <xf numFmtId="0" fontId="0" fillId="0" borderId="5" xfId="0" applyBorder="1"/>
    <xf numFmtId="0" fontId="0" fillId="0" borderId="5" xfId="0" applyBorder="1"/>
    <xf numFmtId="0" fontId="0" fillId="0" borderId="5" xfId="0" applyBorder="1"/>
    <xf numFmtId="0" fontId="2" fillId="3" borderId="0" xfId="0" applyFont="1" applyFill="1"/>
    <xf numFmtId="165" fontId="0" fillId="0" borderId="5" xfId="0" applyNumberFormat="1" applyBorder="1"/>
    <xf numFmtId="165" fontId="0" fillId="0" borderId="8" xfId="0" applyNumberFormat="1" applyBorder="1"/>
  </cellXfs>
  <cellStyles count="3">
    <cellStyle name="Hyperlink" xfId="2" builtinId="8"/>
    <cellStyle name="Normal" xfId="0" builtinId="0"/>
    <cellStyle name="Percent" xfId="1" builtinId="5"/>
  </cellStyles>
  <dxfs count="31"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</dxf>
    <dxf>
      <font>
        <color theme="0" tint="-4.9989318521683403E-2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color rgb="FF4B26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00"/>
      <color rgb="FF0D004D"/>
      <color rgb="FFA593FF"/>
      <color rgb="FFDBD4FF"/>
      <color rgb="FF4B2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Market Positoning</a:t>
            </a:r>
            <a:endParaRPr lang="en-DE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Competitors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3A659A2-ECFA-473C-8D02-7A2A6101B2E3}" type="CELLRANGE">
                      <a:rPr lang="en-US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0DB-48FB-BD0D-3C1A9E06EE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1FDD56-BEE6-45C3-93D7-98F9DFE6FECB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0DB-48FB-BD0D-3C1A9E06EE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E7E620-EDA6-4D58-B355-EC8291406F0C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0DB-48FB-BD0D-3C1A9E06EE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D4E251-52DF-4475-AA7F-43F5EDF4AE40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0DB-48FB-BD0D-3C1A9E06EE9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9E270F-A1AA-4BA6-8779-D8A8520CC356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0DB-48FB-BD0D-3C1A9E06E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Calculations!$E$22:$I$22</c:f>
              <c:numCache>
                <c:formatCode>#,##0.00</c:formatCode>
                <c:ptCount val="5"/>
                <c:pt idx="0">
                  <c:v>0.38083333333333336</c:v>
                </c:pt>
                <c:pt idx="1">
                  <c:v>0.65499999999999992</c:v>
                </c:pt>
                <c:pt idx="2">
                  <c:v>0.43499999999999994</c:v>
                </c:pt>
                <c:pt idx="3">
                  <c:v>-0.27499999999999991</c:v>
                </c:pt>
                <c:pt idx="4">
                  <c:v>1.1599999999999999</c:v>
                </c:pt>
              </c:numCache>
            </c:numRef>
          </c:xVal>
          <c:yVal>
            <c:numRef>
              <c:f>Calculations!$E$27:$I$27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Calculations!$E$13:$I$13</c15:f>
                <c15:dlblRangeCache>
                  <c:ptCount val="5"/>
                  <c:pt idx="0">
                    <c:v>Accredible</c:v>
                  </c:pt>
                  <c:pt idx="1">
                    <c:v>Parchment</c:v>
                  </c:pt>
                  <c:pt idx="2">
                    <c:v>Canvas</c:v>
                  </c:pt>
                  <c:pt idx="3">
                    <c:v>Territorium</c:v>
                  </c:pt>
                  <c:pt idx="4">
                    <c:v>Credly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0DB-48FB-BD0D-3C1A9E06EE96}"/>
            </c:ext>
          </c:extLst>
        </c:ser>
        <c:ser>
          <c:idx val="1"/>
          <c:order val="1"/>
          <c:tx>
            <c:v>MIN MAX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Calculations!$K$22:$L$22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xVal>
          <c:yVal>
            <c:numRef>
              <c:f>Calculations!$K$27:$L$27</c:f>
              <c:numCache>
                <c:formatCode>General</c:formatCode>
                <c:ptCount val="2"/>
                <c:pt idx="0">
                  <c:v>-10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DB-48FB-BD0D-3C1A9E06EE96}"/>
            </c:ext>
          </c:extLst>
        </c:ser>
        <c:ser>
          <c:idx val="2"/>
          <c:order val="2"/>
          <c:tx>
            <c:v>Recommended Range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dash"/>
            <c:size val="10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Calculations!$D$49:$E$49</c:f>
              <c:numCache>
                <c:formatCode>#,##0.00</c:formatCode>
                <c:ptCount val="2"/>
                <c:pt idx="0">
                  <c:v>0.97249999999999992</c:v>
                </c:pt>
                <c:pt idx="1">
                  <c:v>0.97249999999999992</c:v>
                </c:pt>
              </c:numCache>
            </c:numRef>
          </c:xVal>
          <c:yVal>
            <c:numRef>
              <c:f>Calculations!$D$48:$E$48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DB-48FB-BD0D-3C1A9E06EE96}"/>
            </c:ext>
          </c:extLst>
        </c:ser>
        <c:ser>
          <c:idx val="3"/>
          <c:order val="3"/>
          <c:tx>
            <c:v>Current price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9499ECA-85A1-47C4-B24A-B21089623974}" type="CELLRANGE">
                      <a:rPr lang="en-US"/>
                      <a:pPr/>
                      <a:t>[CELLRANGE]</a:t>
                    </a:fld>
                    <a:endParaRPr lang="en-D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40D-4A61-99DB-A69FCB7A9D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Calculations!$D$22</c:f>
              <c:numCache>
                <c:formatCode>#,##0.00</c:formatCode>
                <c:ptCount val="1"/>
                <c:pt idx="0">
                  <c:v>0.97249999999999992</c:v>
                </c:pt>
              </c:numCache>
            </c:numRef>
          </c:xVal>
          <c:yVal>
            <c:numRef>
              <c:f>Calculations!$D$27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'Step 4 Results'!$C$31</c15:f>
                <c15:dlblRangeCache>
                  <c:ptCount val="1"/>
                  <c:pt idx="0">
                    <c:v>Credly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10DB-48FB-BD0D-3C1A9E06EE96}"/>
            </c:ext>
          </c:extLst>
        </c:ser>
        <c:ser>
          <c:idx val="4"/>
          <c:order val="4"/>
          <c:tx>
            <c:v>Value Line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forward val="2"/>
            <c:backward val="2"/>
            <c:dispRSqr val="0"/>
            <c:dispEq val="0"/>
          </c:trendline>
          <c:xVal>
            <c:numRef>
              <c:f>Calculations!$F$43:$G$43</c:f>
              <c:numCache>
                <c:formatCode>0.00</c:formatCode>
                <c:ptCount val="2"/>
                <c:pt idx="0" formatCode="General">
                  <c:v>-2</c:v>
                </c:pt>
                <c:pt idx="1">
                  <c:v>0</c:v>
                </c:pt>
              </c:numCache>
            </c:numRef>
          </c:xVal>
          <c:yVal>
            <c:numRef>
              <c:f>Calculations!$F$42:$G$42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52-4D73-8385-E1949F5468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92814800"/>
        <c:axId val="1992815280"/>
      </c:scatterChart>
      <c:valAx>
        <c:axId val="1992814800"/>
        <c:scaling>
          <c:orientation val="minMax"/>
          <c:max val="2.2999999999999998"/>
          <c:min val="-2.299999999999999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992815280"/>
        <c:crossesAt val="100"/>
        <c:crossBetween val="midCat"/>
        <c:majorUnit val="10"/>
      </c:valAx>
      <c:valAx>
        <c:axId val="199281528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2814800"/>
        <c:crossesAt val="-2.2999999999999998"/>
        <c:crossBetween val="midCat"/>
      </c:valAx>
      <c:spPr>
        <a:noFill/>
        <a:ln>
          <a:solidFill>
            <a:schemeClr val="tx2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171450</xdr:rowOff>
    </xdr:from>
    <xdr:to>
      <xdr:col>1</xdr:col>
      <xdr:colOff>88900</xdr:colOff>
      <xdr:row>2</xdr:row>
      <xdr:rowOff>159385</xdr:rowOff>
    </xdr:to>
    <xdr:pic>
      <xdr:nvPicPr>
        <xdr:cNvPr id="2" name="Picture 1" descr="Pearson Tests of English">
          <a:extLst>
            <a:ext uri="{FF2B5EF4-FFF2-40B4-BE49-F238E27FC236}">
              <a16:creationId xmlns:a16="http://schemas.microsoft.com/office/drawing/2014/main" id="{CAA6B053-A225-455D-A137-7B5CA112A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71450"/>
          <a:ext cx="158115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593587</xdr:colOff>
      <xdr:row>5</xdr:row>
      <xdr:rowOff>167309</xdr:rowOff>
    </xdr:from>
    <xdr:to>
      <xdr:col>8</xdr:col>
      <xdr:colOff>622300</xdr:colOff>
      <xdr:row>29</xdr:row>
      <xdr:rowOff>104637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F2CF2-D214-5728-FD11-5C2C3EDBF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0D004D"/>
      </a:dk2>
      <a:lt2>
        <a:srgbClr val="FFFFFF"/>
      </a:lt2>
      <a:accent1>
        <a:srgbClr val="B79BFE"/>
      </a:accent1>
      <a:accent2>
        <a:srgbClr val="7950E2"/>
      </a:accent2>
      <a:accent3>
        <a:srgbClr val="56E2E1"/>
      </a:accent3>
      <a:accent4>
        <a:srgbClr val="EC8DE2"/>
      </a:accent4>
      <a:accent5>
        <a:srgbClr val="FFCE00"/>
      </a:accent5>
      <a:accent6>
        <a:srgbClr val="B820A9"/>
      </a:accent6>
      <a:hlink>
        <a:srgbClr val="B79BFE"/>
      </a:hlink>
      <a:folHlink>
        <a:srgbClr val="B79BF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E82D-1FB6-4FB7-BA37-2E07A572E05C}">
  <sheetPr codeName="Sheet1"/>
  <dimension ref="A1:G28"/>
  <sheetViews>
    <sheetView showRowColHeaders="0" topLeftCell="A3" zoomScale="220" zoomScaleNormal="220" workbookViewId="0">
      <selection activeCell="B6" sqref="B6:C12"/>
    </sheetView>
  </sheetViews>
  <sheetFormatPr defaultColWidth="0" defaultRowHeight="14.5" customHeight="1" zeroHeight="1" outlineLevelRow="1" x14ac:dyDescent="0.35"/>
  <cols>
    <col min="1" max="1" width="5.54296875" style="1" customWidth="1"/>
    <col min="2" max="2" width="31.1796875" style="1" bestFit="1" customWidth="1"/>
    <col min="3" max="3" width="84.1796875" style="1" customWidth="1"/>
    <col min="4" max="4" width="5.54296875" style="1" customWidth="1"/>
    <col min="5" max="7" width="0" style="1" hidden="1" customWidth="1"/>
    <col min="8" max="16384" width="8.81640625" style="1" hidden="1"/>
  </cols>
  <sheetData>
    <row r="1" spans="1:7" x14ac:dyDescent="0.35">
      <c r="A1"/>
    </row>
    <row r="2" spans="1:7" ht="28.5" x14ac:dyDescent="0.35">
      <c r="B2" s="62" t="s">
        <v>0</v>
      </c>
      <c r="C2" s="62"/>
      <c r="D2" s="2"/>
      <c r="E2" s="2"/>
      <c r="F2" s="2"/>
      <c r="G2" s="2"/>
    </row>
    <row r="3" spans="1:7" x14ac:dyDescent="0.35"/>
    <row r="4" spans="1:7" ht="16" x14ac:dyDescent="0.4">
      <c r="B4" s="63" t="s">
        <v>1</v>
      </c>
      <c r="C4" s="64"/>
    </row>
    <row r="5" spans="1:7" ht="31.5" customHeight="1" x14ac:dyDescent="0.35">
      <c r="B5" s="54" t="s">
        <v>2</v>
      </c>
      <c r="C5" s="54" t="s">
        <v>3</v>
      </c>
    </row>
    <row r="6" spans="1:7" ht="31.5" customHeight="1" x14ac:dyDescent="0.35">
      <c r="B6" s="51" t="s">
        <v>4</v>
      </c>
      <c r="C6" s="48" t="s">
        <v>5</v>
      </c>
    </row>
    <row r="7" spans="1:7" ht="31.5" customHeight="1" x14ac:dyDescent="0.35">
      <c r="B7" s="52" t="s">
        <v>6</v>
      </c>
      <c r="C7" s="49" t="s">
        <v>7</v>
      </c>
    </row>
    <row r="8" spans="1:7" ht="31.5" customHeight="1" x14ac:dyDescent="0.35">
      <c r="B8" s="52" t="s">
        <v>8</v>
      </c>
      <c r="C8" s="49" t="s">
        <v>9</v>
      </c>
    </row>
    <row r="9" spans="1:7" ht="31.5" customHeight="1" x14ac:dyDescent="0.35">
      <c r="B9" s="52" t="s">
        <v>10</v>
      </c>
      <c r="C9" s="49" t="s">
        <v>11</v>
      </c>
    </row>
    <row r="10" spans="1:7" ht="31.5" customHeight="1" x14ac:dyDescent="0.35">
      <c r="B10" s="52" t="s">
        <v>12</v>
      </c>
      <c r="C10" s="49" t="s">
        <v>13</v>
      </c>
    </row>
    <row r="11" spans="1:7" ht="31.5" customHeight="1" x14ac:dyDescent="0.35">
      <c r="B11" s="52" t="s">
        <v>14</v>
      </c>
      <c r="C11" s="49" t="s">
        <v>15</v>
      </c>
    </row>
    <row r="12" spans="1:7" ht="31.5" customHeight="1" x14ac:dyDescent="0.35">
      <c r="B12" s="52" t="s">
        <v>16</v>
      </c>
      <c r="C12" s="49" t="s">
        <v>17</v>
      </c>
    </row>
    <row r="13" spans="1:7" ht="31.5" customHeight="1" x14ac:dyDescent="0.35">
      <c r="B13" s="53"/>
      <c r="C13" s="50"/>
    </row>
    <row r="14" spans="1:7" hidden="1" outlineLevel="1" x14ac:dyDescent="0.35"/>
    <row r="15" spans="1:7" ht="16" hidden="1" outlineLevel="1" x14ac:dyDescent="0.4">
      <c r="B15" s="63" t="s">
        <v>18</v>
      </c>
      <c r="C15" s="64"/>
    </row>
    <row r="16" spans="1:7" hidden="1" outlineLevel="1" x14ac:dyDescent="0.35">
      <c r="B16" s="45" t="s">
        <v>19</v>
      </c>
      <c r="C16" s="47" t="s">
        <v>3</v>
      </c>
    </row>
    <row r="17" spans="2:3" ht="39" hidden="1" outlineLevel="1" x14ac:dyDescent="0.35">
      <c r="B17" s="46" t="s">
        <v>20</v>
      </c>
      <c r="C17" s="34" t="s">
        <v>21</v>
      </c>
    </row>
    <row r="18" spans="2:3" ht="26" hidden="1" outlineLevel="1" x14ac:dyDescent="0.35">
      <c r="B18" s="46" t="s">
        <v>22</v>
      </c>
      <c r="C18" s="34" t="s">
        <v>23</v>
      </c>
    </row>
    <row r="19" spans="2:3" ht="39" hidden="1" outlineLevel="1" x14ac:dyDescent="0.35">
      <c r="B19" s="46" t="s">
        <v>24</v>
      </c>
      <c r="C19" s="34" t="s">
        <v>25</v>
      </c>
    </row>
    <row r="20" spans="2:3" ht="39" hidden="1" outlineLevel="1" x14ac:dyDescent="0.35">
      <c r="B20" s="46" t="s">
        <v>26</v>
      </c>
      <c r="C20" s="34" t="s">
        <v>27</v>
      </c>
    </row>
    <row r="21" spans="2:3" hidden="1" outlineLevel="1" x14ac:dyDescent="0.35"/>
    <row r="22" spans="2:3" ht="16" hidden="1" outlineLevel="1" x14ac:dyDescent="0.4">
      <c r="B22" s="63" t="s">
        <v>28</v>
      </c>
      <c r="C22" s="64"/>
    </row>
    <row r="23" spans="2:3" hidden="1" outlineLevel="1" x14ac:dyDescent="0.35">
      <c r="B23" s="45" t="s">
        <v>19</v>
      </c>
      <c r="C23" s="47" t="s">
        <v>3</v>
      </c>
    </row>
    <row r="24" spans="2:3" ht="39" hidden="1" outlineLevel="1" x14ac:dyDescent="0.35">
      <c r="B24" s="46" t="s">
        <v>18</v>
      </c>
      <c r="C24" s="34" t="s">
        <v>29</v>
      </c>
    </row>
    <row r="25" spans="2:3" ht="39" hidden="1" outlineLevel="1" x14ac:dyDescent="0.35">
      <c r="B25" s="46" t="s">
        <v>30</v>
      </c>
      <c r="C25" s="34" t="s">
        <v>31</v>
      </c>
    </row>
    <row r="26" spans="2:3" ht="39" hidden="1" outlineLevel="1" x14ac:dyDescent="0.35">
      <c r="B26" s="46" t="s">
        <v>32</v>
      </c>
      <c r="C26" s="34" t="s">
        <v>33</v>
      </c>
    </row>
    <row r="27" spans="2:3" collapsed="1" x14ac:dyDescent="0.35"/>
    <row r="28" spans="2:3" hidden="1" x14ac:dyDescent="0.35"/>
  </sheetData>
  <mergeCells count="4">
    <mergeCell ref="B2:C2"/>
    <mergeCell ref="B4:C4"/>
    <mergeCell ref="B15:C15"/>
    <mergeCell ref="B22:C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ED1B-21F5-4AB4-A1EA-AB186BD5A9C6}">
  <sheetPr codeName="Sheet2"/>
  <dimension ref="B1:I22"/>
  <sheetViews>
    <sheetView showGridLines="0" topLeftCell="A3" zoomScale="190" zoomScaleNormal="190" workbookViewId="0">
      <selection activeCell="D18" sqref="D18"/>
    </sheetView>
  </sheetViews>
  <sheetFormatPr defaultColWidth="8.7265625" defaultRowHeight="14.5" zeroHeight="1" x14ac:dyDescent="0.35"/>
  <cols>
    <col min="1" max="1" width="8.7265625" customWidth="1"/>
    <col min="2" max="2" width="59.7265625" bestFit="1" customWidth="1"/>
    <col min="3" max="3" width="8.7265625" customWidth="1"/>
    <col min="4" max="4" width="8.1796875" customWidth="1"/>
    <col min="5" max="5" width="8.7265625" customWidth="1"/>
  </cols>
  <sheetData>
    <row r="1" spans="2:9" x14ac:dyDescent="0.35"/>
    <row r="2" spans="2:9" ht="23.15" customHeight="1" x14ac:dyDescent="0.35">
      <c r="B2" s="67" t="s">
        <v>34</v>
      </c>
      <c r="C2" s="67"/>
      <c r="D2" s="67"/>
    </row>
    <row r="3" spans="2:9" x14ac:dyDescent="0.35"/>
    <row r="4" spans="2:9" x14ac:dyDescent="0.35">
      <c r="B4" s="27" t="s">
        <v>35</v>
      </c>
      <c r="C4" s="28"/>
      <c r="D4" s="33" t="s">
        <v>36</v>
      </c>
    </row>
    <row r="5" spans="2:9" x14ac:dyDescent="0.35">
      <c r="B5" s="27" t="s">
        <v>37</v>
      </c>
      <c r="C5" s="28"/>
      <c r="D5" s="33" t="s">
        <v>290</v>
      </c>
    </row>
    <row r="6" spans="2:9" x14ac:dyDescent="0.35"/>
    <row r="7" spans="2:9" x14ac:dyDescent="0.35">
      <c r="B7" s="29" t="s">
        <v>38</v>
      </c>
      <c r="C7" s="30"/>
    </row>
    <row r="8" spans="2:9" x14ac:dyDescent="0.35">
      <c r="B8" s="31" t="s">
        <v>39</v>
      </c>
      <c r="C8" s="32"/>
    </row>
    <row r="9" spans="2:9" x14ac:dyDescent="0.35"/>
    <row r="10" spans="2:9" x14ac:dyDescent="0.35">
      <c r="B10" s="5" t="s">
        <v>40</v>
      </c>
      <c r="C10" s="5" t="s">
        <v>282</v>
      </c>
      <c r="D10" s="5" t="s">
        <v>280</v>
      </c>
      <c r="E10" s="5" t="s">
        <v>281</v>
      </c>
      <c r="F10" s="5" t="s">
        <v>279</v>
      </c>
      <c r="G10" s="5" t="s">
        <v>283</v>
      </c>
      <c r="H10" s="5" t="s">
        <v>284</v>
      </c>
      <c r="I10" s="5" t="s">
        <v>42</v>
      </c>
    </row>
    <row r="11" spans="2:9" x14ac:dyDescent="0.35">
      <c r="B11" s="3" t="s">
        <v>4</v>
      </c>
      <c r="C11" s="3">
        <f>RANK(I11,$I$11:$I$17,1)</f>
        <v>4</v>
      </c>
      <c r="D11" s="3">
        <v>4</v>
      </c>
      <c r="E11" s="3">
        <v>5</v>
      </c>
      <c r="F11" s="3"/>
      <c r="G11" s="3"/>
      <c r="H11" s="3">
        <v>2</v>
      </c>
      <c r="I11" s="24">
        <f>AVERAGE(D11:H11)</f>
        <v>3.6666666666666665</v>
      </c>
    </row>
    <row r="12" spans="2:9" x14ac:dyDescent="0.35">
      <c r="B12" s="3" t="s">
        <v>6</v>
      </c>
      <c r="C12" s="3">
        <f t="shared" ref="C12:C17" si="0">RANK(I12,$I$11:$I$17,1)</f>
        <v>5</v>
      </c>
      <c r="D12" s="3">
        <v>5</v>
      </c>
      <c r="E12" s="3">
        <v>6</v>
      </c>
      <c r="F12" s="3"/>
      <c r="G12" s="3"/>
      <c r="H12" s="3">
        <v>4</v>
      </c>
      <c r="I12" s="24">
        <f t="shared" ref="I12:I17" si="1">AVERAGE(D12:H12)</f>
        <v>5</v>
      </c>
    </row>
    <row r="13" spans="2:9" x14ac:dyDescent="0.35">
      <c r="B13" s="3" t="s">
        <v>8</v>
      </c>
      <c r="C13" s="3">
        <f t="shared" si="0"/>
        <v>1</v>
      </c>
      <c r="D13" s="3">
        <v>1</v>
      </c>
      <c r="E13" s="3">
        <v>2</v>
      </c>
      <c r="F13" s="3"/>
      <c r="G13" s="3"/>
      <c r="H13" s="3">
        <v>1</v>
      </c>
      <c r="I13" s="24">
        <f t="shared" si="1"/>
        <v>1.3333333333333333</v>
      </c>
    </row>
    <row r="14" spans="2:9" x14ac:dyDescent="0.35">
      <c r="B14" s="3" t="s">
        <v>10</v>
      </c>
      <c r="C14" s="3">
        <f t="shared" si="0"/>
        <v>3</v>
      </c>
      <c r="D14" s="3">
        <v>3</v>
      </c>
      <c r="E14" s="3">
        <v>4</v>
      </c>
      <c r="F14" s="3"/>
      <c r="G14" s="3"/>
      <c r="H14" s="3">
        <v>3</v>
      </c>
      <c r="I14" s="24">
        <f t="shared" si="1"/>
        <v>3.3333333333333335</v>
      </c>
    </row>
    <row r="15" spans="2:9" x14ac:dyDescent="0.35">
      <c r="B15" s="3" t="s">
        <v>12</v>
      </c>
      <c r="C15" s="3">
        <f t="shared" si="0"/>
        <v>5</v>
      </c>
      <c r="D15" s="3">
        <v>7</v>
      </c>
      <c r="E15" s="3">
        <v>3</v>
      </c>
      <c r="F15" s="3"/>
      <c r="G15" s="3"/>
      <c r="H15" s="3">
        <v>5</v>
      </c>
      <c r="I15" s="24">
        <f t="shared" si="1"/>
        <v>5</v>
      </c>
    </row>
    <row r="16" spans="2:9" x14ac:dyDescent="0.35">
      <c r="B16" s="3" t="s">
        <v>14</v>
      </c>
      <c r="C16" s="3">
        <f t="shared" si="0"/>
        <v>2</v>
      </c>
      <c r="D16" s="3">
        <v>2</v>
      </c>
      <c r="E16" s="3">
        <v>1</v>
      </c>
      <c r="F16" s="3"/>
      <c r="G16" s="3"/>
      <c r="H16" s="3">
        <v>6</v>
      </c>
      <c r="I16" s="24">
        <f t="shared" si="1"/>
        <v>3</v>
      </c>
    </row>
    <row r="17" spans="2:9" x14ac:dyDescent="0.35">
      <c r="B17" s="3" t="s">
        <v>16</v>
      </c>
      <c r="C17" s="3">
        <f t="shared" si="0"/>
        <v>7</v>
      </c>
      <c r="D17" s="3">
        <v>6</v>
      </c>
      <c r="E17" s="3">
        <v>7</v>
      </c>
      <c r="F17" s="3"/>
      <c r="G17" s="3"/>
      <c r="H17" s="3">
        <v>7</v>
      </c>
      <c r="I17" s="24">
        <f t="shared" si="1"/>
        <v>6.666666666666667</v>
      </c>
    </row>
    <row r="18" spans="2:9" x14ac:dyDescent="0.35"/>
    <row r="19" spans="2:9" x14ac:dyDescent="0.35"/>
    <row r="20" spans="2:9" x14ac:dyDescent="0.35">
      <c r="B20" s="65" t="s">
        <v>43</v>
      </c>
      <c r="C20" s="65"/>
    </row>
    <row r="21" spans="2:9" x14ac:dyDescent="0.35">
      <c r="B21" s="66" t="s">
        <v>44</v>
      </c>
      <c r="C21" s="66"/>
    </row>
    <row r="22" spans="2:9" x14ac:dyDescent="0.35"/>
  </sheetData>
  <mergeCells count="3">
    <mergeCell ref="B20:C20"/>
    <mergeCell ref="B21:C21"/>
    <mergeCell ref="B2:D2"/>
  </mergeCells>
  <phoneticPr fontId="18" type="noConversion"/>
  <conditionalFormatting sqref="B20:C20">
    <cfRule type="expression" dxfId="30" priority="8">
      <formula>AND(   COUNTA($C$11:$C$17)=7,   SUMPRODUCT(COUNTIF($C$11:$C$17,ROW(INDIRECT("1:7"))))=7 )</formula>
    </cfRule>
  </conditionalFormatting>
  <conditionalFormatting sqref="B21:C21">
    <cfRule type="expression" dxfId="29" priority="7">
      <formula>AND(   COUNTA($C$11:$C$18)=8,   SUMPRODUCT(COUNTIF($C$11:$C$18,ROW(INDIRECT("1:8"))))=8 )</formula>
    </cfRule>
  </conditionalFormatting>
  <conditionalFormatting sqref="C11:I17">
    <cfRule type="containsBlanks" dxfId="28" priority="1">
      <formula>LEN(TRIM(C11))=0</formula>
    </cfRule>
  </conditionalFormatting>
  <conditionalFormatting sqref="D4:D5">
    <cfRule type="containsBlanks" dxfId="27" priority="9">
      <formula>LEN(TRIM(D4))=0</formula>
    </cfRule>
  </conditionalFormatting>
  <hyperlinks>
    <hyperlink ref="B21:C21" location="'Step 2 competition'!A1" display="You are good to go. Please proceed to Step 2" xr:uid="{3E8579E0-B004-4282-8F94-AD7F1A7D8E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226E-422D-4B14-9397-E96836028AC6}">
  <sheetPr codeName="Sheet3"/>
  <dimension ref="A1:F38"/>
  <sheetViews>
    <sheetView showGridLines="0" topLeftCell="A3" zoomScale="160" zoomScaleNormal="160" workbookViewId="0">
      <selection activeCell="B12" sqref="B12"/>
    </sheetView>
  </sheetViews>
  <sheetFormatPr defaultColWidth="0" defaultRowHeight="14.5" zeroHeight="1" x14ac:dyDescent="0.35"/>
  <cols>
    <col min="1" max="1" width="8.7265625" customWidth="1"/>
    <col min="2" max="2" width="70.81640625" customWidth="1"/>
    <col min="3" max="3" width="11.453125" bestFit="1" customWidth="1"/>
    <col min="4" max="4" width="8.7265625" customWidth="1"/>
    <col min="5" max="6" width="0" hidden="1" customWidth="1"/>
    <col min="7" max="16384" width="8.7265625" hidden="1"/>
  </cols>
  <sheetData>
    <row r="1" spans="2:4" x14ac:dyDescent="0.35"/>
    <row r="2" spans="2:4" ht="24.65" customHeight="1" x14ac:dyDescent="0.35">
      <c r="B2" s="67" t="s">
        <v>45</v>
      </c>
      <c r="C2" s="67"/>
    </row>
    <row r="3" spans="2:4" x14ac:dyDescent="0.35"/>
    <row r="4" spans="2:4" x14ac:dyDescent="0.35">
      <c r="B4" s="9" t="s">
        <v>46</v>
      </c>
      <c r="C4" s="10"/>
      <c r="D4" s="35" t="b">
        <f>AND(
  COUNTA($C$18:$C$20)=3,
  COUNTA($C$29:$C$31)=3,
  OR($B$10="(enter name here)", AND($C$21&lt;&gt;"",$C$32&lt;&gt;"")),
  OR($B$11="(enter name here)", AND($C$22&lt;&gt;"",$C$33&lt;&gt;"")),
  OR($B$12="(enter name here)", AND($C$23&lt;&gt;"",$C$34&lt;&gt;""))
)</f>
        <v>0</v>
      </c>
    </row>
    <row r="5" spans="2:4" x14ac:dyDescent="0.35"/>
    <row r="6" spans="2:4" x14ac:dyDescent="0.35">
      <c r="B6" s="5" t="s">
        <v>47</v>
      </c>
    </row>
    <row r="7" spans="2:4" x14ac:dyDescent="0.35">
      <c r="B7" s="3" t="s">
        <v>48</v>
      </c>
    </row>
    <row r="8" spans="2:4" x14ac:dyDescent="0.35">
      <c r="B8" s="3" t="s">
        <v>49</v>
      </c>
    </row>
    <row r="9" spans="2:4" x14ac:dyDescent="0.35">
      <c r="B9" s="3" t="s">
        <v>291</v>
      </c>
    </row>
    <row r="10" spans="2:4" x14ac:dyDescent="0.35">
      <c r="B10" s="3" t="s">
        <v>292</v>
      </c>
    </row>
    <row r="11" spans="2:4" x14ac:dyDescent="0.35">
      <c r="B11" s="3" t="s">
        <v>293</v>
      </c>
    </row>
    <row r="12" spans="2:4" x14ac:dyDescent="0.35">
      <c r="B12" s="3" t="s">
        <v>50</v>
      </c>
    </row>
    <row r="13" spans="2:4" x14ac:dyDescent="0.35"/>
    <row r="14" spans="2:4" x14ac:dyDescent="0.35"/>
    <row r="15" spans="2:4" x14ac:dyDescent="0.35">
      <c r="B15" s="9" t="s">
        <v>51</v>
      </c>
      <c r="C15" s="8"/>
    </row>
    <row r="16" spans="2:4" x14ac:dyDescent="0.35"/>
    <row r="17" spans="2:3" x14ac:dyDescent="0.35">
      <c r="B17" s="5" t="s">
        <v>47</v>
      </c>
      <c r="C17" s="5" t="s">
        <v>52</v>
      </c>
    </row>
    <row r="18" spans="2:3" x14ac:dyDescent="0.35">
      <c r="B18" t="str">
        <f t="shared" ref="B18:B20" si="0">IF(B7="(enter name here)","",B7)</f>
        <v>Credly</v>
      </c>
    </row>
    <row r="19" spans="2:3" x14ac:dyDescent="0.35">
      <c r="B19" t="str">
        <f t="shared" si="0"/>
        <v>Accredible</v>
      </c>
    </row>
    <row r="20" spans="2:3" x14ac:dyDescent="0.35">
      <c r="B20" t="str">
        <f t="shared" si="0"/>
        <v>Parchment</v>
      </c>
    </row>
    <row r="21" spans="2:3" x14ac:dyDescent="0.35">
      <c r="B21" t="str">
        <f>IF(B10="(enter name here)","",B10)</f>
        <v>Canvas</v>
      </c>
    </row>
    <row r="22" spans="2:3" x14ac:dyDescent="0.35">
      <c r="B22" t="str">
        <f t="shared" ref="B22:B23" si="1">IF(B11="(enter name here)","",B11)</f>
        <v>Territorium</v>
      </c>
    </row>
    <row r="23" spans="2:3" x14ac:dyDescent="0.35">
      <c r="B23" t="str">
        <f t="shared" si="1"/>
        <v/>
      </c>
    </row>
    <row r="24" spans="2:3" x14ac:dyDescent="0.35"/>
    <row r="25" spans="2:3" x14ac:dyDescent="0.35"/>
    <row r="26" spans="2:3" x14ac:dyDescent="0.35">
      <c r="B26" s="9" t="s">
        <v>53</v>
      </c>
      <c r="C26" s="8"/>
    </row>
    <row r="27" spans="2:3" x14ac:dyDescent="0.35"/>
    <row r="28" spans="2:3" x14ac:dyDescent="0.35">
      <c r="B28" s="5" t="s">
        <v>47</v>
      </c>
      <c r="C28" s="5" t="s">
        <v>54</v>
      </c>
    </row>
    <row r="29" spans="2:3" x14ac:dyDescent="0.35">
      <c r="B29" t="str">
        <f t="shared" ref="B29:B31" si="2">IF(B7="(enter name here)","",B7)</f>
        <v>Credly</v>
      </c>
      <c r="C29" s="11"/>
    </row>
    <row r="30" spans="2:3" x14ac:dyDescent="0.35">
      <c r="B30" t="str">
        <f t="shared" si="2"/>
        <v>Accredible</v>
      </c>
      <c r="C30" s="11"/>
    </row>
    <row r="31" spans="2:3" x14ac:dyDescent="0.35">
      <c r="B31" t="str">
        <f t="shared" si="2"/>
        <v>Parchment</v>
      </c>
      <c r="C31" s="11"/>
    </row>
    <row r="32" spans="2:3" x14ac:dyDescent="0.35">
      <c r="B32" t="str">
        <f>IF(B10="(enter name here)","",B10)</f>
        <v>Canvas</v>
      </c>
      <c r="C32" s="11"/>
    </row>
    <row r="33" spans="2:3" x14ac:dyDescent="0.35">
      <c r="B33" t="str">
        <f t="shared" ref="B33:B34" si="3">IF(B11="(enter name here)","",B11)</f>
        <v>Territorium</v>
      </c>
      <c r="C33" s="11"/>
    </row>
    <row r="34" spans="2:3" x14ac:dyDescent="0.35">
      <c r="B34" t="str">
        <f t="shared" si="3"/>
        <v/>
      </c>
      <c r="C34" s="11"/>
    </row>
    <row r="35" spans="2:3" x14ac:dyDescent="0.35"/>
    <row r="36" spans="2:3" x14ac:dyDescent="0.35">
      <c r="B36" s="65" t="s">
        <v>55</v>
      </c>
      <c r="C36" s="65"/>
    </row>
    <row r="37" spans="2:3" x14ac:dyDescent="0.35">
      <c r="B37" s="66" t="s">
        <v>56</v>
      </c>
      <c r="C37" s="66"/>
    </row>
    <row r="38" spans="2:3" x14ac:dyDescent="0.35"/>
  </sheetData>
  <mergeCells count="3">
    <mergeCell ref="B36:C36"/>
    <mergeCell ref="B37:C37"/>
    <mergeCell ref="B2:C2"/>
  </mergeCells>
  <conditionalFormatting sqref="B7:B12">
    <cfRule type="containsText" dxfId="26" priority="9" operator="containsText" text="(enter name here)">
      <formula>NOT(ISERROR(SEARCH("(enter name here)",B7)))</formula>
    </cfRule>
  </conditionalFormatting>
  <conditionalFormatting sqref="B18:B23">
    <cfRule type="expression" dxfId="25" priority="8">
      <formula>B7&lt;&gt;"(enter name here)"</formula>
    </cfRule>
  </conditionalFormatting>
  <conditionalFormatting sqref="B29:B34">
    <cfRule type="expression" dxfId="24" priority="4">
      <formula>B7&lt;&gt;"(enter name here)"</formula>
    </cfRule>
  </conditionalFormatting>
  <conditionalFormatting sqref="B36">
    <cfRule type="expression" dxfId="23" priority="16">
      <formula>D4=TRUE</formula>
    </cfRule>
  </conditionalFormatting>
  <conditionalFormatting sqref="B37">
    <cfRule type="expression" dxfId="22" priority="18">
      <formula>D4=TRUE</formula>
    </cfRule>
  </conditionalFormatting>
  <conditionalFormatting sqref="C18:C23">
    <cfRule type="expression" dxfId="21" priority="5">
      <formula>B7&lt;&gt;"(enter name here)"</formula>
    </cfRule>
  </conditionalFormatting>
  <conditionalFormatting sqref="C29:C34">
    <cfRule type="expression" dxfId="20" priority="3">
      <formula>B7&lt;&gt;"(enter name here)"</formula>
    </cfRule>
  </conditionalFormatting>
  <conditionalFormatting sqref="C36">
    <cfRule type="expression" dxfId="19" priority="2">
      <formula>G4=TRUE</formula>
    </cfRule>
  </conditionalFormatting>
  <conditionalFormatting sqref="C37">
    <cfRule type="expression" dxfId="18" priority="1">
      <formula>G4=TRUE</formula>
    </cfRule>
  </conditionalFormatting>
  <hyperlinks>
    <hyperlink ref="B37:C37" location="'Step 3 Value assessment'!A1" display="You are good to go. Please proceed to Step 3." xr:uid="{9E9D57E4-B5CE-48E3-9A53-59F0679C58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5917-4F55-4CCA-B37E-8048D4A10B0E}">
  <sheetPr codeName="Sheet4"/>
  <dimension ref="B1:AC20"/>
  <sheetViews>
    <sheetView showGridLines="0" zoomScale="190" zoomScaleNormal="190" workbookViewId="0">
      <selection activeCell="G19" sqref="G19"/>
    </sheetView>
  </sheetViews>
  <sheetFormatPr defaultColWidth="8.7265625" defaultRowHeight="14.5" zeroHeight="1" x14ac:dyDescent="0.35"/>
  <cols>
    <col min="1" max="2" width="8.7265625" customWidth="1"/>
    <col min="3" max="3" width="37.54296875" customWidth="1"/>
    <col min="4" max="9" width="8.7265625" customWidth="1"/>
  </cols>
  <sheetData>
    <row r="1" spans="2:29" x14ac:dyDescent="0.35"/>
    <row r="2" spans="2:29" ht="21.65" customHeight="1" x14ac:dyDescent="0.35">
      <c r="B2" s="69" t="s">
        <v>57</v>
      </c>
      <c r="C2" s="69"/>
      <c r="D2" s="69"/>
      <c r="E2" s="69"/>
      <c r="F2" s="69"/>
      <c r="G2" s="69"/>
    </row>
    <row r="3" spans="2:29" x14ac:dyDescent="0.35"/>
    <row r="4" spans="2:29" x14ac:dyDescent="0.35">
      <c r="B4" s="68" t="s">
        <v>58</v>
      </c>
      <c r="C4" s="68"/>
      <c r="D4" s="68"/>
      <c r="E4" s="68"/>
      <c r="F4" s="68"/>
      <c r="G4" s="68"/>
      <c r="H4" s="35" t="b">
        <f>AND(
  COUNTA($D$9:$F$15)=ROWS($D$9:$F$15)*COLUMNS($D$9:$F$15),
  OR($G$8="",COUNTA($G$9:$G$15)=ROWS($G$9:$G$15)),
  OR($H$8="",COUNTA($H$9:$H$15)=ROWS($H$9:$H$15)),
  OR($I$8="",COUNTA($I$9:$I$15)=ROWS($I$9:$I$15))
)</f>
        <v>1</v>
      </c>
    </row>
    <row r="5" spans="2:29" x14ac:dyDescent="0.35">
      <c r="B5" s="68" t="s">
        <v>59</v>
      </c>
      <c r="C5" s="68"/>
      <c r="D5" s="68"/>
      <c r="E5" s="68"/>
      <c r="F5" s="68"/>
      <c r="G5" s="8"/>
    </row>
    <row r="6" spans="2:29" x14ac:dyDescent="0.35"/>
    <row r="7" spans="2:29" x14ac:dyDescent="0.35">
      <c r="I7" s="5" t="s">
        <v>285</v>
      </c>
      <c r="M7" s="5" t="s">
        <v>286</v>
      </c>
      <c r="Q7" s="5" t="s">
        <v>287</v>
      </c>
      <c r="U7" s="5" t="s">
        <v>288</v>
      </c>
      <c r="Y7" s="5" t="s">
        <v>289</v>
      </c>
    </row>
    <row r="8" spans="2:29" x14ac:dyDescent="0.35">
      <c r="B8" s="5" t="s">
        <v>41</v>
      </c>
      <c r="C8" s="5" t="s">
        <v>2</v>
      </c>
      <c r="D8" s="5" t="str">
        <f>IF('Step 2 competition'!B7="(enter name here)","",'Step 2 competition'!B7)</f>
        <v>Credly</v>
      </c>
      <c r="E8" s="5" t="str">
        <f>IF('Step 2 competition'!B8="(enter name here)","",'Step 2 competition'!B8)</f>
        <v>Accredible</v>
      </c>
      <c r="F8" s="5" t="str">
        <f>IF('Step 2 competition'!B9="(enter name here)","",'Step 2 competition'!B9)</f>
        <v>Parchment</v>
      </c>
      <c r="G8" s="7" t="str">
        <f>IF('Step 2 competition'!B10="(enter name here)","",'Step 2 competition'!B10)</f>
        <v>Canvas</v>
      </c>
      <c r="H8" s="7" t="str">
        <f>IF('Step 2 competition'!B11="(enter name here)","",'Step 2 competition'!B11)</f>
        <v>Territorium</v>
      </c>
      <c r="I8" s="5" t="s">
        <v>48</v>
      </c>
      <c r="J8" s="72" t="s">
        <v>49</v>
      </c>
      <c r="K8" s="5"/>
      <c r="L8" s="72" t="s">
        <v>292</v>
      </c>
      <c r="M8" s="5" t="s">
        <v>48</v>
      </c>
      <c r="N8" s="72" t="s">
        <v>49</v>
      </c>
      <c r="O8" s="5" t="s">
        <v>291</v>
      </c>
      <c r="Q8" s="5" t="s">
        <v>48</v>
      </c>
      <c r="R8" s="5"/>
      <c r="S8" s="5"/>
      <c r="U8" s="5" t="s">
        <v>48</v>
      </c>
      <c r="V8" s="5"/>
      <c r="W8" s="5"/>
      <c r="Y8" s="5" t="s">
        <v>48</v>
      </c>
      <c r="Z8" s="5" t="s">
        <v>49</v>
      </c>
      <c r="AA8" s="5"/>
      <c r="AB8" s="76" t="s">
        <v>292</v>
      </c>
      <c r="AC8" s="76" t="s">
        <v>293</v>
      </c>
    </row>
    <row r="9" spans="2:29" x14ac:dyDescent="0.35">
      <c r="B9" s="3">
        <v>1</v>
      </c>
      <c r="C9" s="3" t="str">
        <f>_xlfn.XLOOKUP(B9,'Step 1 VD Relevance'!$C$11:$C$18,'Step 1 VD Relevance'!$B$11:$B$18,"",0)</f>
        <v>Ease of Use (Issuer)</v>
      </c>
      <c r="D9" s="77">
        <f>AVERAGE(I9,M9,Q9,U9,Y9)</f>
        <v>0.5</v>
      </c>
      <c r="E9" s="77">
        <f t="shared" ref="E9:G9" si="0">AVERAGE(J9,N9,R9,V9,Z9)</f>
        <v>0.33333333333333331</v>
      </c>
      <c r="F9" s="77">
        <f t="shared" si="0"/>
        <v>0</v>
      </c>
      <c r="G9" s="77">
        <f>AVERAGE(L9,P9,T9,X9,AB9)</f>
        <v>1.5</v>
      </c>
      <c r="H9" s="78">
        <f>AC9</f>
        <v>-1</v>
      </c>
      <c r="I9" s="70">
        <v>2</v>
      </c>
      <c r="J9" s="71">
        <v>0</v>
      </c>
      <c r="K9" s="3"/>
      <c r="L9" s="71">
        <v>1</v>
      </c>
      <c r="M9" s="73">
        <v>-1</v>
      </c>
      <c r="N9" s="73">
        <v>1</v>
      </c>
      <c r="O9" s="73">
        <v>0</v>
      </c>
      <c r="Q9" s="3"/>
      <c r="R9" s="3"/>
      <c r="S9" s="3"/>
      <c r="U9" s="3"/>
      <c r="V9" s="3"/>
      <c r="W9" s="3"/>
      <c r="Y9" s="3"/>
      <c r="Z9" s="74">
        <v>0</v>
      </c>
      <c r="AA9" s="3"/>
      <c r="AB9" s="75">
        <v>2</v>
      </c>
      <c r="AC9" s="75">
        <v>-1</v>
      </c>
    </row>
    <row r="10" spans="2:29" x14ac:dyDescent="0.35">
      <c r="B10" s="3">
        <v>2</v>
      </c>
      <c r="C10" s="3" t="str">
        <f>_xlfn.XLOOKUP(B10,'Step 1 VD Relevance'!$C$11:$C$18,'Step 1 VD Relevance'!$B$11:$B$18,"",0)</f>
        <v>Ease of Use (Earner)</v>
      </c>
      <c r="D10" s="77">
        <f t="shared" ref="D10:D15" si="1">AVERAGE(I10,M10,Q10,U10,Y10)</f>
        <v>0.5</v>
      </c>
      <c r="E10" s="77">
        <f t="shared" ref="E10:E15" si="2">AVERAGE(J10,N10,R10,V10,Z10)</f>
        <v>1.3333333333333333</v>
      </c>
      <c r="F10" s="77">
        <f t="shared" ref="F10:G15" si="3">AVERAGE(K10,O10,S10,W10,AA10)</f>
        <v>1</v>
      </c>
      <c r="G10" s="77">
        <f t="shared" si="3"/>
        <v>0</v>
      </c>
      <c r="H10" s="78">
        <f t="shared" ref="H10:H15" si="4">AC10</f>
        <v>-2</v>
      </c>
      <c r="I10" s="70">
        <v>0</v>
      </c>
      <c r="J10" s="71">
        <v>1</v>
      </c>
      <c r="K10" s="3"/>
      <c r="L10" s="71">
        <v>0</v>
      </c>
      <c r="M10" s="73">
        <v>1</v>
      </c>
      <c r="N10" s="73">
        <v>1</v>
      </c>
      <c r="O10" s="73">
        <v>1</v>
      </c>
      <c r="Q10" s="3"/>
      <c r="R10" s="3"/>
      <c r="S10" s="3"/>
      <c r="U10" s="3"/>
      <c r="V10" s="3"/>
      <c r="W10" s="3"/>
      <c r="Y10" s="3"/>
      <c r="Z10" s="74">
        <v>2</v>
      </c>
      <c r="AA10" s="3"/>
      <c r="AB10" s="75">
        <v>0</v>
      </c>
      <c r="AC10" s="75">
        <v>-2</v>
      </c>
    </row>
    <row r="11" spans="2:29" x14ac:dyDescent="0.35">
      <c r="B11" s="3">
        <v>3</v>
      </c>
      <c r="C11" s="3" t="str">
        <f>_xlfn.XLOOKUP(B11,'Step 1 VD Relevance'!$C$11:$C$18,'Step 1 VD Relevance'!$B$11:$B$18,"",0)</f>
        <v>Customer Support</v>
      </c>
      <c r="D11" s="77">
        <f t="shared" si="1"/>
        <v>1.5</v>
      </c>
      <c r="E11" s="77">
        <f t="shared" si="2"/>
        <v>-0.33333333333333331</v>
      </c>
      <c r="F11" s="77">
        <f t="shared" si="3"/>
        <v>1</v>
      </c>
      <c r="G11" s="77">
        <f t="shared" si="3"/>
        <v>0</v>
      </c>
      <c r="H11" s="78">
        <f t="shared" si="4"/>
        <v>1</v>
      </c>
      <c r="I11" s="70">
        <v>2</v>
      </c>
      <c r="J11" s="71">
        <v>-1</v>
      </c>
      <c r="K11" s="3"/>
      <c r="L11" s="71">
        <v>1</v>
      </c>
      <c r="M11" s="73">
        <v>1</v>
      </c>
      <c r="N11" s="73">
        <v>1</v>
      </c>
      <c r="O11" s="73">
        <v>1</v>
      </c>
      <c r="Q11" s="3"/>
      <c r="R11" s="3"/>
      <c r="S11" s="3"/>
      <c r="U11" s="3"/>
      <c r="V11" s="3"/>
      <c r="W11" s="3"/>
      <c r="Y11" s="3"/>
      <c r="Z11" s="74">
        <v>-1</v>
      </c>
      <c r="AA11" s="3"/>
      <c r="AB11" s="75">
        <v>-1</v>
      </c>
      <c r="AC11" s="75">
        <v>1</v>
      </c>
    </row>
    <row r="12" spans="2:29" x14ac:dyDescent="0.35">
      <c r="B12" s="3">
        <v>4</v>
      </c>
      <c r="C12" s="3" t="str">
        <f>_xlfn.XLOOKUP(B12,'Step 1 VD Relevance'!$C$11:$C$18,'Step 1 VD Relevance'!$B$11:$B$18,"",0)</f>
        <v>Brand Awareness</v>
      </c>
      <c r="D12" s="77">
        <f t="shared" si="1"/>
        <v>2</v>
      </c>
      <c r="E12" s="77">
        <f t="shared" si="2"/>
        <v>0.33333333333333331</v>
      </c>
      <c r="F12" s="77">
        <f t="shared" si="3"/>
        <v>1</v>
      </c>
      <c r="G12" s="77">
        <f t="shared" si="3"/>
        <v>0.5</v>
      </c>
      <c r="H12" s="78">
        <f t="shared" si="4"/>
        <v>0</v>
      </c>
      <c r="I12" s="70">
        <v>2</v>
      </c>
      <c r="J12" s="71">
        <v>1</v>
      </c>
      <c r="K12" s="3"/>
      <c r="L12" s="71">
        <v>1</v>
      </c>
      <c r="M12" s="73">
        <v>2</v>
      </c>
      <c r="N12" s="73">
        <v>0</v>
      </c>
      <c r="O12" s="73">
        <v>1</v>
      </c>
      <c r="Q12" s="3"/>
      <c r="R12" s="3"/>
      <c r="S12" s="3"/>
      <c r="U12" s="3"/>
      <c r="V12" s="3"/>
      <c r="W12" s="3"/>
      <c r="Y12" s="3"/>
      <c r="Z12" s="74">
        <v>0</v>
      </c>
      <c r="AA12" s="3"/>
      <c r="AB12" s="75">
        <v>0</v>
      </c>
      <c r="AC12" s="75">
        <v>0</v>
      </c>
    </row>
    <row r="13" spans="2:29" x14ac:dyDescent="0.35">
      <c r="B13" s="3">
        <v>5</v>
      </c>
      <c r="C13" s="3" t="str">
        <f>_xlfn.XLOOKUP(B13,'Step 1 VD Relevance'!$C$11:$C$18,'Step 1 VD Relevance'!$B$11:$B$18,"",0)</f>
        <v>Analytics</v>
      </c>
      <c r="D13" s="77">
        <f t="shared" si="1"/>
        <v>1</v>
      </c>
      <c r="E13" s="77">
        <f t="shared" si="2"/>
        <v>0.66666666666666663</v>
      </c>
      <c r="F13" s="77">
        <f t="shared" si="3"/>
        <v>1</v>
      </c>
      <c r="G13" s="77">
        <f t="shared" si="3"/>
        <v>-0.5</v>
      </c>
      <c r="H13" s="78">
        <f t="shared" si="4"/>
        <v>1</v>
      </c>
      <c r="I13" s="70">
        <v>0</v>
      </c>
      <c r="J13" s="71">
        <v>0</v>
      </c>
      <c r="K13" s="3"/>
      <c r="L13" s="71">
        <v>-1</v>
      </c>
      <c r="M13" s="73">
        <v>2</v>
      </c>
      <c r="N13" s="73">
        <v>0</v>
      </c>
      <c r="O13" s="73">
        <v>1</v>
      </c>
      <c r="Q13" s="3"/>
      <c r="R13" s="3"/>
      <c r="S13" s="3"/>
      <c r="U13" s="3"/>
      <c r="V13" s="3"/>
      <c r="W13" s="3"/>
      <c r="Y13" s="3"/>
      <c r="Z13" s="74">
        <v>2</v>
      </c>
      <c r="AA13" s="3"/>
      <c r="AB13" s="75">
        <v>0</v>
      </c>
      <c r="AC13" s="75">
        <v>1</v>
      </c>
    </row>
    <row r="14" spans="2:29" x14ac:dyDescent="0.35">
      <c r="B14" s="3">
        <v>6</v>
      </c>
      <c r="C14" s="3" t="str">
        <f>_xlfn.XLOOKUP(B14,'Step 1 VD Relevance'!$C$11:$C$18,'Step 1 VD Relevance'!$B$11:$B$18,"",0)</f>
        <v/>
      </c>
      <c r="D14" s="77">
        <f t="shared" si="1"/>
        <v>1</v>
      </c>
      <c r="E14" s="77">
        <f t="shared" si="2"/>
        <v>0</v>
      </c>
      <c r="F14" s="77">
        <f t="shared" si="3"/>
        <v>0</v>
      </c>
      <c r="G14" s="77">
        <f t="shared" si="3"/>
        <v>1</v>
      </c>
      <c r="H14" s="78">
        <f t="shared" si="4"/>
        <v>0</v>
      </c>
      <c r="I14" s="70">
        <v>2</v>
      </c>
      <c r="J14" s="71">
        <v>-1</v>
      </c>
      <c r="K14" s="3"/>
      <c r="L14" s="71">
        <v>0</v>
      </c>
      <c r="M14" s="73">
        <v>0</v>
      </c>
      <c r="N14" s="73">
        <v>0</v>
      </c>
      <c r="O14" s="73">
        <v>0</v>
      </c>
      <c r="Q14" s="3"/>
      <c r="R14" s="3"/>
      <c r="S14" s="3"/>
      <c r="U14" s="3"/>
      <c r="V14" s="3"/>
      <c r="W14" s="3"/>
      <c r="Y14" s="3"/>
      <c r="Z14" s="74">
        <v>1</v>
      </c>
      <c r="AA14" s="3"/>
      <c r="AB14" s="75">
        <v>2</v>
      </c>
      <c r="AC14" s="75">
        <v>0</v>
      </c>
    </row>
    <row r="15" spans="2:29" x14ac:dyDescent="0.35">
      <c r="B15" s="3">
        <v>7</v>
      </c>
      <c r="C15" s="3" t="str">
        <f>_xlfn.XLOOKUP(B15,'Step 1 VD Relevance'!$C$11:$C$18,'Step 1 VD Relevance'!$B$11:$B$18,"",0)</f>
        <v>Security</v>
      </c>
      <c r="D15" s="77">
        <f t="shared" si="1"/>
        <v>1</v>
      </c>
      <c r="E15" s="77">
        <f t="shared" si="2"/>
        <v>0.16666666666666666</v>
      </c>
      <c r="F15" s="77">
        <f t="shared" si="3"/>
        <v>1</v>
      </c>
      <c r="G15" s="77">
        <f t="shared" si="3"/>
        <v>0.5</v>
      </c>
      <c r="H15" s="78">
        <f t="shared" si="4"/>
        <v>0</v>
      </c>
      <c r="I15" s="70">
        <v>0</v>
      </c>
      <c r="J15" s="71">
        <v>1.5</v>
      </c>
      <c r="K15" s="3"/>
      <c r="L15" s="71">
        <v>1</v>
      </c>
      <c r="M15" s="73">
        <v>2</v>
      </c>
      <c r="N15" s="73">
        <v>-1</v>
      </c>
      <c r="O15" s="73">
        <v>1</v>
      </c>
      <c r="Q15" s="3"/>
      <c r="R15" s="3"/>
      <c r="S15" s="3"/>
      <c r="U15" s="3"/>
      <c r="V15" s="3"/>
      <c r="W15" s="3"/>
      <c r="Y15" s="3"/>
      <c r="Z15" s="74">
        <v>0</v>
      </c>
      <c r="AA15" s="3"/>
      <c r="AB15" s="75">
        <v>0</v>
      </c>
      <c r="AC15" s="75">
        <v>0</v>
      </c>
    </row>
    <row r="16" spans="2:29" x14ac:dyDescent="0.35"/>
    <row r="17" spans="2:6" x14ac:dyDescent="0.35"/>
    <row r="18" spans="2:6" x14ac:dyDescent="0.35">
      <c r="B18" s="65" t="s">
        <v>60</v>
      </c>
      <c r="C18" s="65"/>
      <c r="D18" s="65"/>
      <c r="E18" s="65"/>
      <c r="F18" s="65"/>
    </row>
    <row r="19" spans="2:6" x14ac:dyDescent="0.35">
      <c r="B19" s="66"/>
      <c r="C19" s="66"/>
      <c r="D19" s="66"/>
      <c r="E19" s="66"/>
      <c r="F19" s="66"/>
    </row>
    <row r="20" spans="2:6" x14ac:dyDescent="0.35"/>
  </sheetData>
  <mergeCells count="5">
    <mergeCell ref="B5:F5"/>
    <mergeCell ref="B4:G4"/>
    <mergeCell ref="B18:F18"/>
    <mergeCell ref="B19:F19"/>
    <mergeCell ref="B2:G2"/>
  </mergeCells>
  <conditionalFormatting sqref="B18">
    <cfRule type="expression" dxfId="17" priority="27">
      <formula>H4=TRUE</formula>
    </cfRule>
  </conditionalFormatting>
  <conditionalFormatting sqref="B19">
    <cfRule type="expression" dxfId="16" priority="29">
      <formula>H4=TRUE</formula>
    </cfRule>
  </conditionalFormatting>
  <conditionalFormatting sqref="C18:F18">
    <cfRule type="expression" dxfId="15" priority="17">
      <formula>J4=TRUE</formula>
    </cfRule>
  </conditionalFormatting>
  <conditionalFormatting sqref="C19:F19">
    <cfRule type="expression" dxfId="14" priority="16">
      <formula>J4=TRUE</formula>
    </cfRule>
  </conditionalFormatting>
  <conditionalFormatting sqref="D9:G15">
    <cfRule type="containsBlanks" dxfId="13" priority="25">
      <formula>LEN(TRIM(D9))=0</formula>
    </cfRule>
  </conditionalFormatting>
  <conditionalFormatting sqref="D9:K15 I16">
    <cfRule type="colorScale" priority="18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G9:G15">
    <cfRule type="expression" dxfId="12" priority="22">
      <formula>$G$8&lt;&gt;""</formula>
    </cfRule>
  </conditionalFormatting>
  <conditionalFormatting sqref="G8:H8">
    <cfRule type="containsBlanks" dxfId="11" priority="24">
      <formula>LEN(TRIM(G8))=0</formula>
    </cfRule>
  </conditionalFormatting>
  <conditionalFormatting sqref="H9:H15">
    <cfRule type="expression" dxfId="10" priority="21">
      <formula>$H$8&lt;&gt;""</formula>
    </cfRule>
  </conditionalFormatting>
  <conditionalFormatting sqref="I16">
    <cfRule type="expression" dxfId="9" priority="20">
      <formula>$I$8&lt;&gt;""</formula>
    </cfRule>
  </conditionalFormatting>
  <conditionalFormatting sqref="I9:K15">
    <cfRule type="containsBlanks" dxfId="8" priority="15">
      <formula>LEN(TRIM(I9))=0</formula>
    </cfRule>
  </conditionalFormatting>
  <conditionalFormatting sqref="M9:O15">
    <cfRule type="containsBlanks" dxfId="7" priority="13">
      <formula>LEN(TRIM(M9))=0</formula>
    </cfRule>
    <cfRule type="colorScale" priority="14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Q9:S15">
    <cfRule type="containsBlanks" dxfId="6" priority="11">
      <formula>LEN(TRIM(Q9))=0</formula>
    </cfRule>
    <cfRule type="colorScale" priority="12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U9:W15">
    <cfRule type="containsBlanks" dxfId="5" priority="9">
      <formula>LEN(TRIM(U9))=0</formula>
    </cfRule>
    <cfRule type="colorScale" priority="10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Y9:AA15">
    <cfRule type="containsBlanks" dxfId="4" priority="7">
      <formula>LEN(TRIM(Y9))=0</formula>
    </cfRule>
    <cfRule type="colorScale" priority="8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L9:L15">
    <cfRule type="colorScale" priority="6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L9:L15">
    <cfRule type="containsBlanks" dxfId="2" priority="5">
      <formula>LEN(TRIM(L9))=0</formula>
    </cfRule>
  </conditionalFormatting>
  <conditionalFormatting sqref="AB9:AB15">
    <cfRule type="containsBlanks" dxfId="1" priority="3">
      <formula>LEN(TRIM(AB9))=0</formula>
    </cfRule>
    <cfRule type="colorScale" priority="4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AC9:AC15">
    <cfRule type="containsBlanks" dxfId="0" priority="1">
      <formula>LEN(TRIM(AC9))=0</formula>
    </cfRule>
    <cfRule type="colorScale" priority="2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F791-9090-484F-9D0F-220B685B3F7B}">
  <sheetPr codeName="Sheet5"/>
  <dimension ref="A1:J38"/>
  <sheetViews>
    <sheetView showGridLines="0" showRowColHeaders="0" tabSelected="1" zoomScale="115" zoomScaleNormal="115" workbookViewId="0">
      <selection activeCell="C32" sqref="C32"/>
    </sheetView>
  </sheetViews>
  <sheetFormatPr defaultColWidth="0" defaultRowHeight="14.5" zeroHeight="1" x14ac:dyDescent="0.35"/>
  <cols>
    <col min="1" max="1" width="8.7265625" customWidth="1"/>
    <col min="2" max="2" width="21.7265625" customWidth="1"/>
    <col min="3" max="3" width="20.54296875" customWidth="1"/>
    <col min="4" max="4" width="24.7265625" customWidth="1"/>
    <col min="5" max="5" width="23.1796875" customWidth="1"/>
    <col min="6" max="6" width="21.7265625" customWidth="1"/>
    <col min="7" max="7" width="21.54296875" customWidth="1"/>
    <col min="8" max="9" width="17" customWidth="1"/>
    <col min="10" max="10" width="8.7265625" customWidth="1"/>
    <col min="11" max="16384" width="8.7265625" hidden="1"/>
  </cols>
  <sheetData>
    <row r="1" spans="2:9" x14ac:dyDescent="0.35"/>
    <row r="2" spans="2:9" ht="20.5" customHeight="1" x14ac:dyDescent="0.35">
      <c r="B2" s="67" t="s">
        <v>61</v>
      </c>
      <c r="C2" s="67"/>
      <c r="D2" s="67"/>
      <c r="E2" s="67"/>
      <c r="F2" s="67"/>
      <c r="G2" s="67"/>
      <c r="H2" s="67"/>
      <c r="I2" s="67"/>
    </row>
    <row r="3" spans="2:9" ht="15" thickBot="1" x14ac:dyDescent="0.4"/>
    <row r="4" spans="2:9" ht="15" thickBot="1" x14ac:dyDescent="0.4">
      <c r="B4" s="41" t="s">
        <v>62</v>
      </c>
      <c r="C4" s="42" t="str">
        <f>'Step 1 VD Relevance'!D4</f>
        <v>USA</v>
      </c>
      <c r="E4" s="41" t="s">
        <v>63</v>
      </c>
      <c r="F4" s="42" t="e">
        <f>INDEX('Step 2 competition'!$B$29:$B$33, MATCH(MAX('Step 2 competition'!$C$29:$C$33), 'Step 2 competition'!$C$29:$C$33, 0))</f>
        <v>#N/A</v>
      </c>
    </row>
    <row r="5" spans="2:9" ht="15" thickBot="1" x14ac:dyDescent="0.4">
      <c r="B5" s="41" t="s">
        <v>64</v>
      </c>
      <c r="C5" s="43" t="str">
        <f>_xlfn.XLOOKUP(C4,'2024 Revenue'!$A$2:$A$175,'2024 Revenue'!$B$2:$B$175,"",0)</f>
        <v/>
      </c>
      <c r="E5" s="41" t="s">
        <v>65</v>
      </c>
      <c r="F5" s="44">
        <f>'Step 2 competition'!C29</f>
        <v>0</v>
      </c>
    </row>
    <row r="6" spans="2:9" x14ac:dyDescent="0.35"/>
    <row r="7" spans="2:9" x14ac:dyDescent="0.35"/>
    <row r="8" spans="2:9" x14ac:dyDescent="0.35"/>
    <row r="9" spans="2:9" x14ac:dyDescent="0.35"/>
    <row r="10" spans="2:9" x14ac:dyDescent="0.35"/>
    <row r="11" spans="2:9" x14ac:dyDescent="0.35"/>
    <row r="12" spans="2:9" x14ac:dyDescent="0.35"/>
    <row r="13" spans="2:9" x14ac:dyDescent="0.35"/>
    <row r="14" spans="2:9" x14ac:dyDescent="0.35"/>
    <row r="15" spans="2:9" x14ac:dyDescent="0.35"/>
    <row r="16" spans="2:9" x14ac:dyDescent="0.35"/>
    <row r="17" spans="2:8" x14ac:dyDescent="0.35"/>
    <row r="18" spans="2:8" x14ac:dyDescent="0.35"/>
    <row r="19" spans="2:8" x14ac:dyDescent="0.35"/>
    <row r="20" spans="2:8" x14ac:dyDescent="0.35"/>
    <row r="21" spans="2:8" x14ac:dyDescent="0.35"/>
    <row r="22" spans="2:8" x14ac:dyDescent="0.35"/>
    <row r="23" spans="2:8" x14ac:dyDescent="0.35"/>
    <row r="24" spans="2:8" x14ac:dyDescent="0.35"/>
    <row r="25" spans="2:8" x14ac:dyDescent="0.35"/>
    <row r="26" spans="2:8" x14ac:dyDescent="0.35"/>
    <row r="27" spans="2:8" x14ac:dyDescent="0.35"/>
    <row r="28" spans="2:8" x14ac:dyDescent="0.35"/>
    <row r="29" spans="2:8" x14ac:dyDescent="0.35"/>
    <row r="30" spans="2:8" x14ac:dyDescent="0.35"/>
    <row r="31" spans="2:8" x14ac:dyDescent="0.35">
      <c r="B31" s="5" t="s">
        <v>66</v>
      </c>
      <c r="C31" s="5" t="str">
        <f>IF(Calculations!D26&lt;&gt;"",Calculations!D26,"")</f>
        <v>Credly</v>
      </c>
      <c r="D31" s="5" t="str">
        <f>IF(Calculations!E26&lt;&gt;"",Calculations!E26,"")</f>
        <v>Accredible</v>
      </c>
      <c r="E31" s="5" t="str">
        <f>IF(Calculations!F26&lt;&gt;"",Calculations!F26,"")</f>
        <v>Parchment</v>
      </c>
      <c r="F31" s="5" t="str">
        <f>IF(Calculations!G26&lt;&gt;"",Calculations!G26,"")</f>
        <v>Canvas</v>
      </c>
      <c r="G31" s="5" t="str">
        <f>IF(Calculations!H26&lt;&gt;"",Calculations!H26,"")</f>
        <v>Territorium</v>
      </c>
      <c r="H31" s="4" t="str">
        <f>IF(Calculations!I26&lt;&gt;"",Calculations!I26,"")</f>
        <v>Credly</v>
      </c>
    </row>
    <row r="32" spans="2:8" x14ac:dyDescent="0.35">
      <c r="B32" s="26" t="s">
        <v>67</v>
      </c>
      <c r="C32" s="24">
        <f>IF(C31&lt;&gt;"",_xlfn.XLOOKUP(C31,Calculations!$D$13:$I$13,Calculations!$D$23:$I$23,"",0),"")</f>
        <v>74.3125</v>
      </c>
      <c r="D32" s="24">
        <f>IF(D31&lt;&gt;"",_xlfn.XLOOKUP(D31,Calculations!$D$13:$I$13,Calculations!$D$23:$I$23,"",0),"")</f>
        <v>59.520833333333336</v>
      </c>
      <c r="E32" s="24">
        <f>IF(E31&lt;&gt;"",_xlfn.XLOOKUP(E31,Calculations!$D$13:$I$13,Calculations!$D$23:$I$23,"",0),"")</f>
        <v>66.375</v>
      </c>
      <c r="F32" s="24">
        <f>IF(F31&lt;&gt;"",_xlfn.XLOOKUP(F31,Calculations!$D$13:$I$13,Calculations!$D$23:$I$23,"",0),"")</f>
        <v>60.875</v>
      </c>
      <c r="G32" s="24">
        <f>IF(G31&lt;&gt;"",_xlfn.XLOOKUP(G31,Calculations!$D$13:$I$13,Calculations!$D$23:$I$23,"",0),"")</f>
        <v>43.125</v>
      </c>
      <c r="H32" s="24">
        <f>IF(H31&lt;&gt;"",_xlfn.XLOOKUP(H31,Calculations!$D$13:$I$13,Calculations!$D$23:$I$23,"",0),"")</f>
        <v>74.3125</v>
      </c>
    </row>
    <row r="33" spans="2:8" x14ac:dyDescent="0.35">
      <c r="B33" s="26" t="s">
        <v>52</v>
      </c>
      <c r="C33" s="59">
        <f>IF(C31&lt;&gt;"",_xlfn.XLOOKUP('Step 4 Results'!C31,Calculations!$D$26:$I$26,Calculations!$D$27:$I$27,"",0),"")</f>
        <v>0</v>
      </c>
      <c r="D33" s="59">
        <f>IF(D31&lt;&gt;"",_xlfn.XLOOKUP('Step 4 Results'!D31,Calculations!$D$26:$I$26,Calculations!$D$27:$I$27,"",0),"")</f>
        <v>0</v>
      </c>
      <c r="E33" s="59">
        <f>IF(E31&lt;&gt;"",_xlfn.XLOOKUP('Step 4 Results'!E31,Calculations!$D$26:$I$26,Calculations!$D$27:$I$27,"",0),"")</f>
        <v>0</v>
      </c>
      <c r="F33" s="59">
        <f>IF(F31&lt;&gt;"",_xlfn.XLOOKUP('Step 4 Results'!F31,Calculations!$D$26:$I$26,Calculations!$D$27:$I$27,"",0),"")</f>
        <v>0</v>
      </c>
      <c r="G33" s="59">
        <f>IF(G31&lt;&gt;"",_xlfn.XLOOKUP('Step 4 Results'!G31,Calculations!$D$26:$I$26,Calculations!$D$27:$I$27,"",0),"")</f>
        <v>0</v>
      </c>
      <c r="H33" s="59">
        <f>IF(H31&lt;&gt;"",_xlfn.XLOOKUP('Step 4 Results'!H31,Calculations!$D$26:$I$26,Calculations!$D$27:$I$27,"",0),"")</f>
        <v>0</v>
      </c>
    </row>
    <row r="34" spans="2:8" x14ac:dyDescent="0.35">
      <c r="B34" s="26" t="s">
        <v>68</v>
      </c>
      <c r="C34" s="24">
        <f>IF(C31&lt;&gt;"",_xlfn.XLOOKUP('Step 4 Results'!C31,Calculations!$C$31:$C$36,Calculations!$H$31:$H$36,"",0),"")</f>
        <v>0</v>
      </c>
      <c r="D34" s="24">
        <f>IF(D31&lt;&gt;"",_xlfn.XLOOKUP('Step 4 Results'!D31,Calculations!$C$31:$C$36,Calculations!$H$31:$H$36,"",0),"")</f>
        <v>0</v>
      </c>
      <c r="E34" s="24">
        <f>IF(E31&lt;&gt;"",_xlfn.XLOOKUP('Step 4 Results'!E31,Calculations!$C$31:$C$36,Calculations!$H$31:$H$36,"",0),"")</f>
        <v>0</v>
      </c>
      <c r="F34" s="24">
        <f>IF(F31&lt;&gt;"",_xlfn.XLOOKUP('Step 4 Results'!F31,Calculations!$C$31:$C$36,Calculations!$H$31:$H$36,"",0),"")</f>
        <v>0</v>
      </c>
      <c r="G34" s="24">
        <f>IF(G31&lt;&gt;"",_xlfn.XLOOKUP('Step 4 Results'!G31,Calculations!$C$31:$C$36,Calculations!$H$31:$H$36,"",0),"")</f>
        <v>0</v>
      </c>
      <c r="H34" s="24">
        <f>IF(H31&lt;&gt;"",_xlfn.XLOOKUP('Step 4 Results'!H31,Calculations!$C$31:$C$36,Calculations!$H$31:$H$36,"",0),"")</f>
        <v>0</v>
      </c>
    </row>
    <row r="35" spans="2:8" x14ac:dyDescent="0.35"/>
    <row r="36" spans="2:8" ht="15" thickBot="1" x14ac:dyDescent="0.4"/>
    <row r="37" spans="2:8" ht="19" thickBot="1" x14ac:dyDescent="0.5">
      <c r="B37" s="36" t="s">
        <v>69</v>
      </c>
      <c r="C37" s="37"/>
      <c r="D37" s="38"/>
      <c r="E37" s="39" t="s">
        <v>70</v>
      </c>
      <c r="F37" s="40" t="e">
        <f>Calculations!B54</f>
        <v>#N/A</v>
      </c>
    </row>
    <row r="38" spans="2:8" x14ac:dyDescent="0.35"/>
  </sheetData>
  <mergeCells count="1">
    <mergeCell ref="B2:I2"/>
  </mergeCells>
  <conditionalFormatting sqref="C31:H34">
    <cfRule type="containsBlanks" dxfId="3" priority="4">
      <formula>LEN(TRIM(C31))=0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616A-5D0C-4620-84BF-FEF7087020FE}">
  <sheetPr codeName="Sheet6"/>
  <dimension ref="B1:R64"/>
  <sheetViews>
    <sheetView topLeftCell="A7" zoomScale="85" zoomScaleNormal="85" workbookViewId="0">
      <selection activeCell="E6" sqref="E6"/>
    </sheetView>
  </sheetViews>
  <sheetFormatPr defaultRowHeight="14.5" x14ac:dyDescent="0.35"/>
  <cols>
    <col min="2" max="12" width="14.453125" customWidth="1"/>
  </cols>
  <sheetData>
    <row r="1" spans="2:9" x14ac:dyDescent="0.35">
      <c r="B1" s="13" t="s">
        <v>71</v>
      </c>
    </row>
    <row r="2" spans="2:9" x14ac:dyDescent="0.35">
      <c r="B2" s="14" t="str">
        <f>'Step 3 Value assessment'!B8</f>
        <v>Rank</v>
      </c>
      <c r="C2" s="14" t="str">
        <f>'Step 3 Value assessment'!C8</f>
        <v>Value driver name</v>
      </c>
      <c r="D2" s="14" t="str">
        <f>'Step 3 Value assessment'!D8</f>
        <v>Credly</v>
      </c>
      <c r="E2" s="14" t="str">
        <f>'Step 3 Value assessment'!E8</f>
        <v>Accredible</v>
      </c>
      <c r="F2" s="14" t="str">
        <f>'Step 3 Value assessment'!F8</f>
        <v>Parchment</v>
      </c>
      <c r="G2" s="14" t="str">
        <f>'Step 3 Value assessment'!G8</f>
        <v>Canvas</v>
      </c>
      <c r="H2" s="14" t="str">
        <f>'Step 3 Value assessment'!H8</f>
        <v>Territorium</v>
      </c>
      <c r="I2" s="14" t="str">
        <f>'Step 3 Value assessment'!I8</f>
        <v>Credly</v>
      </c>
    </row>
    <row r="3" spans="2:9" x14ac:dyDescent="0.35">
      <c r="B3" s="3">
        <f>'Step 3 Value assessment'!B9</f>
        <v>1</v>
      </c>
      <c r="C3" s="3" t="str">
        <f>'Step 3 Value assessment'!C9</f>
        <v>Ease of Use (Issuer)</v>
      </c>
      <c r="D3" s="3">
        <f>'Step 3 Value assessment'!D9</f>
        <v>0.5</v>
      </c>
      <c r="E3" s="3">
        <f>'Step 3 Value assessment'!E9</f>
        <v>0.33333333333333331</v>
      </c>
      <c r="F3" s="3">
        <f>'Step 3 Value assessment'!F9</f>
        <v>0</v>
      </c>
      <c r="G3" s="3">
        <f>'Step 3 Value assessment'!G9</f>
        <v>1.5</v>
      </c>
      <c r="H3" s="3">
        <f>'Step 3 Value assessment'!H9</f>
        <v>-1</v>
      </c>
      <c r="I3" s="3">
        <f>'Step 3 Value assessment'!I9</f>
        <v>2</v>
      </c>
    </row>
    <row r="4" spans="2:9" x14ac:dyDescent="0.35">
      <c r="B4" s="3">
        <f>'Step 3 Value assessment'!B10</f>
        <v>2</v>
      </c>
      <c r="C4" s="3" t="str">
        <f>'Step 3 Value assessment'!C10</f>
        <v>Ease of Use (Earner)</v>
      </c>
      <c r="D4" s="3">
        <f>'Step 3 Value assessment'!D10</f>
        <v>0.5</v>
      </c>
      <c r="E4" s="3">
        <f>'Step 3 Value assessment'!E10</f>
        <v>1.3333333333333333</v>
      </c>
      <c r="F4" s="3">
        <f>'Step 3 Value assessment'!F10</f>
        <v>1</v>
      </c>
      <c r="G4" s="3">
        <f>'Step 3 Value assessment'!G10</f>
        <v>0</v>
      </c>
      <c r="H4" s="3">
        <f>'Step 3 Value assessment'!H10</f>
        <v>-2</v>
      </c>
      <c r="I4" s="3">
        <f>'Step 3 Value assessment'!I10</f>
        <v>0</v>
      </c>
    </row>
    <row r="5" spans="2:9" x14ac:dyDescent="0.35">
      <c r="B5" s="3">
        <f>'Step 3 Value assessment'!B11</f>
        <v>3</v>
      </c>
      <c r="C5" s="3" t="str">
        <f>'Step 3 Value assessment'!C11</f>
        <v>Customer Support</v>
      </c>
      <c r="D5" s="3">
        <f>'Step 3 Value assessment'!D11</f>
        <v>1.5</v>
      </c>
      <c r="E5" s="3">
        <f>'Step 3 Value assessment'!E11</f>
        <v>-0.33333333333333331</v>
      </c>
      <c r="F5" s="3">
        <f>'Step 3 Value assessment'!F11</f>
        <v>1</v>
      </c>
      <c r="G5" s="3">
        <f>'Step 3 Value assessment'!G11</f>
        <v>0</v>
      </c>
      <c r="H5" s="3">
        <f>'Step 3 Value assessment'!H11</f>
        <v>1</v>
      </c>
      <c r="I5" s="3">
        <f>'Step 3 Value assessment'!I11</f>
        <v>2</v>
      </c>
    </row>
    <row r="6" spans="2:9" x14ac:dyDescent="0.35">
      <c r="B6" s="3">
        <f>'Step 3 Value assessment'!B12</f>
        <v>4</v>
      </c>
      <c r="C6" s="3" t="str">
        <f>'Step 3 Value assessment'!C12</f>
        <v>Brand Awareness</v>
      </c>
      <c r="D6" s="3">
        <f>'Step 3 Value assessment'!D12</f>
        <v>2</v>
      </c>
      <c r="E6" s="3">
        <f>'Step 3 Value assessment'!E12</f>
        <v>0.33333333333333331</v>
      </c>
      <c r="F6" s="3">
        <f>'Step 3 Value assessment'!F12</f>
        <v>1</v>
      </c>
      <c r="G6" s="3">
        <f>'Step 3 Value assessment'!G12</f>
        <v>0.5</v>
      </c>
      <c r="H6" s="3">
        <f>'Step 3 Value assessment'!H12</f>
        <v>0</v>
      </c>
      <c r="I6" s="3">
        <f>'Step 3 Value assessment'!I12</f>
        <v>2</v>
      </c>
    </row>
    <row r="7" spans="2:9" x14ac:dyDescent="0.35">
      <c r="B7" s="3">
        <f>'Step 3 Value assessment'!B13</f>
        <v>5</v>
      </c>
      <c r="C7" s="3" t="str">
        <f>'Step 3 Value assessment'!C13</f>
        <v>Analytics</v>
      </c>
      <c r="D7" s="3">
        <f>'Step 3 Value assessment'!D13</f>
        <v>1</v>
      </c>
      <c r="E7" s="3">
        <f>'Step 3 Value assessment'!E13</f>
        <v>0.66666666666666663</v>
      </c>
      <c r="F7" s="3">
        <f>'Step 3 Value assessment'!F13</f>
        <v>1</v>
      </c>
      <c r="G7" s="3">
        <f>'Step 3 Value assessment'!G13</f>
        <v>-0.5</v>
      </c>
      <c r="H7" s="3">
        <f>'Step 3 Value assessment'!H13</f>
        <v>1</v>
      </c>
      <c r="I7" s="3">
        <f>'Step 3 Value assessment'!I13</f>
        <v>0</v>
      </c>
    </row>
    <row r="8" spans="2:9" x14ac:dyDescent="0.35">
      <c r="B8" s="3">
        <f>'Step 3 Value assessment'!B14</f>
        <v>6</v>
      </c>
      <c r="C8" s="3" t="str">
        <f>'Step 3 Value assessment'!C14</f>
        <v/>
      </c>
      <c r="D8" s="3">
        <f>'Step 3 Value assessment'!D14</f>
        <v>1</v>
      </c>
      <c r="E8" s="3">
        <f>'Step 3 Value assessment'!E14</f>
        <v>0</v>
      </c>
      <c r="F8" s="3">
        <f>'Step 3 Value assessment'!F14</f>
        <v>0</v>
      </c>
      <c r="G8" s="3">
        <f>'Step 3 Value assessment'!G14</f>
        <v>1</v>
      </c>
      <c r="H8" s="3">
        <f>'Step 3 Value assessment'!H14</f>
        <v>0</v>
      </c>
      <c r="I8" s="3">
        <f>'Step 3 Value assessment'!I14</f>
        <v>2</v>
      </c>
    </row>
    <row r="9" spans="2:9" x14ac:dyDescent="0.35">
      <c r="B9" s="3">
        <f>'Step 3 Value assessment'!B15</f>
        <v>7</v>
      </c>
      <c r="C9" s="3" t="str">
        <f>'Step 3 Value assessment'!C15</f>
        <v>Security</v>
      </c>
      <c r="D9" s="3">
        <f>'Step 3 Value assessment'!D15</f>
        <v>1</v>
      </c>
      <c r="E9" s="3">
        <f>'Step 3 Value assessment'!E15</f>
        <v>0.16666666666666666</v>
      </c>
      <c r="F9" s="3">
        <f>'Step 3 Value assessment'!F15</f>
        <v>1</v>
      </c>
      <c r="G9" s="3">
        <f>'Step 3 Value assessment'!G15</f>
        <v>0.5</v>
      </c>
      <c r="H9" s="3">
        <f>'Step 3 Value assessment'!H15</f>
        <v>0</v>
      </c>
      <c r="I9" s="3">
        <f>'Step 3 Value assessment'!I15</f>
        <v>0</v>
      </c>
    </row>
    <row r="10" spans="2:9" x14ac:dyDescent="0.35">
      <c r="B10" s="3">
        <f>'Step 3 Value assessment'!B16</f>
        <v>0</v>
      </c>
      <c r="C10" s="3">
        <f>'Step 3 Value assessment'!C16</f>
        <v>0</v>
      </c>
      <c r="D10" s="3">
        <f>'Step 3 Value assessment'!D16</f>
        <v>0</v>
      </c>
      <c r="E10" s="3">
        <f>'Step 3 Value assessment'!E16</f>
        <v>0</v>
      </c>
      <c r="F10" s="3">
        <f>'Step 3 Value assessment'!F16</f>
        <v>0</v>
      </c>
      <c r="G10" s="3">
        <f>'Step 3 Value assessment'!G16</f>
        <v>0</v>
      </c>
      <c r="H10" s="3">
        <f>'Step 3 Value assessment'!H16</f>
        <v>0</v>
      </c>
      <c r="I10" s="3">
        <f>'Step 3 Value assessment'!I16</f>
        <v>0</v>
      </c>
    </row>
    <row r="12" spans="2:9" x14ac:dyDescent="0.35">
      <c r="B12" s="13" t="s">
        <v>72</v>
      </c>
    </row>
    <row r="13" spans="2:9" x14ac:dyDescent="0.35">
      <c r="B13" s="14" t="s">
        <v>41</v>
      </c>
      <c r="C13" s="14" t="s">
        <v>73</v>
      </c>
      <c r="D13" s="14" t="str">
        <f>D2</f>
        <v>Credly</v>
      </c>
      <c r="E13" s="14" t="str">
        <f t="shared" ref="E13:I13" si="0">E2</f>
        <v>Accredible</v>
      </c>
      <c r="F13" s="14" t="str">
        <f t="shared" si="0"/>
        <v>Parchment</v>
      </c>
      <c r="G13" s="14" t="str">
        <f t="shared" si="0"/>
        <v>Canvas</v>
      </c>
      <c r="H13" s="14" t="str">
        <f t="shared" si="0"/>
        <v>Territorium</v>
      </c>
      <c r="I13" s="14" t="str">
        <f t="shared" si="0"/>
        <v>Credly</v>
      </c>
    </row>
    <row r="14" spans="2:9" x14ac:dyDescent="0.35">
      <c r="B14" s="3">
        <v>1</v>
      </c>
      <c r="C14" s="15">
        <v>0.19500000000000001</v>
      </c>
      <c r="D14" s="3">
        <f>D3*$C14</f>
        <v>9.7500000000000003E-2</v>
      </c>
      <c r="E14" s="3">
        <f t="shared" ref="E14:I14" si="1">E3*$C14</f>
        <v>6.5000000000000002E-2</v>
      </c>
      <c r="F14" s="3">
        <f t="shared" si="1"/>
        <v>0</v>
      </c>
      <c r="G14" s="3">
        <f t="shared" si="1"/>
        <v>0.29249999999999998</v>
      </c>
      <c r="H14" s="3">
        <f t="shared" si="1"/>
        <v>-0.19500000000000001</v>
      </c>
      <c r="I14" s="3">
        <f t="shared" si="1"/>
        <v>0.39</v>
      </c>
    </row>
    <row r="15" spans="2:9" x14ac:dyDescent="0.35">
      <c r="B15" s="3">
        <v>2</v>
      </c>
      <c r="C15" s="15">
        <v>0.17499999999999999</v>
      </c>
      <c r="D15" s="3">
        <f t="shared" ref="D15:I15" si="2">D4*$C15</f>
        <v>8.7499999999999994E-2</v>
      </c>
      <c r="E15" s="3">
        <f t="shared" si="2"/>
        <v>0.23333333333333331</v>
      </c>
      <c r="F15" s="3">
        <f t="shared" si="2"/>
        <v>0.17499999999999999</v>
      </c>
      <c r="G15" s="3">
        <f t="shared" si="2"/>
        <v>0</v>
      </c>
      <c r="H15" s="3">
        <f t="shared" si="2"/>
        <v>-0.35</v>
      </c>
      <c r="I15" s="3">
        <f t="shared" si="2"/>
        <v>0</v>
      </c>
    </row>
    <row r="16" spans="2:9" x14ac:dyDescent="0.35">
      <c r="B16" s="3">
        <v>3</v>
      </c>
      <c r="C16" s="15">
        <v>0.155</v>
      </c>
      <c r="D16" s="3">
        <f t="shared" ref="D16:I16" si="3">D5*$C16</f>
        <v>0.23249999999999998</v>
      </c>
      <c r="E16" s="3">
        <f t="shared" si="3"/>
        <v>-5.1666666666666666E-2</v>
      </c>
      <c r="F16" s="3">
        <f t="shared" si="3"/>
        <v>0.155</v>
      </c>
      <c r="G16" s="3">
        <f t="shared" si="3"/>
        <v>0</v>
      </c>
      <c r="H16" s="3">
        <f t="shared" si="3"/>
        <v>0.155</v>
      </c>
      <c r="I16" s="3">
        <f t="shared" si="3"/>
        <v>0.31</v>
      </c>
    </row>
    <row r="17" spans="2:12" x14ac:dyDescent="0.35">
      <c r="B17" s="3">
        <v>4</v>
      </c>
      <c r="C17" s="15">
        <v>0.13500000000000001</v>
      </c>
      <c r="D17" s="3">
        <f t="shared" ref="D17:I17" si="4">D6*$C17</f>
        <v>0.27</v>
      </c>
      <c r="E17" s="3">
        <f t="shared" si="4"/>
        <v>4.4999999999999998E-2</v>
      </c>
      <c r="F17" s="3">
        <f t="shared" si="4"/>
        <v>0.13500000000000001</v>
      </c>
      <c r="G17" s="3">
        <f t="shared" si="4"/>
        <v>6.7500000000000004E-2</v>
      </c>
      <c r="H17" s="3">
        <f t="shared" si="4"/>
        <v>0</v>
      </c>
      <c r="I17" s="3">
        <f t="shared" si="4"/>
        <v>0.27</v>
      </c>
    </row>
    <row r="18" spans="2:12" x14ac:dyDescent="0.35">
      <c r="B18" s="3">
        <v>5</v>
      </c>
      <c r="C18" s="15">
        <v>0.115</v>
      </c>
      <c r="D18" s="3">
        <f t="shared" ref="D18:I18" si="5">D7*$C18</f>
        <v>0.115</v>
      </c>
      <c r="E18" s="3">
        <f t="shared" si="5"/>
        <v>7.6666666666666661E-2</v>
      </c>
      <c r="F18" s="3">
        <f t="shared" si="5"/>
        <v>0.115</v>
      </c>
      <c r="G18" s="3">
        <f t="shared" si="5"/>
        <v>-5.7500000000000002E-2</v>
      </c>
      <c r="H18" s="3">
        <f t="shared" si="5"/>
        <v>0.115</v>
      </c>
      <c r="I18" s="3">
        <f t="shared" si="5"/>
        <v>0</v>
      </c>
    </row>
    <row r="19" spans="2:12" x14ac:dyDescent="0.35">
      <c r="B19" s="3">
        <v>6</v>
      </c>
      <c r="C19" s="15">
        <v>9.5000000000000001E-2</v>
      </c>
      <c r="D19" s="3">
        <f t="shared" ref="D19:I19" si="6">D8*$C19</f>
        <v>9.5000000000000001E-2</v>
      </c>
      <c r="E19" s="3">
        <f t="shared" si="6"/>
        <v>0</v>
      </c>
      <c r="F19" s="3">
        <f t="shared" si="6"/>
        <v>0</v>
      </c>
      <c r="G19" s="3">
        <f t="shared" si="6"/>
        <v>9.5000000000000001E-2</v>
      </c>
      <c r="H19" s="3">
        <f t="shared" si="6"/>
        <v>0</v>
      </c>
      <c r="I19" s="3">
        <f t="shared" si="6"/>
        <v>0.19</v>
      </c>
    </row>
    <row r="20" spans="2:12" x14ac:dyDescent="0.35">
      <c r="B20" s="3">
        <v>7</v>
      </c>
      <c r="C20" s="15">
        <v>7.4999999999999997E-2</v>
      </c>
      <c r="D20" s="3">
        <f t="shared" ref="D20:I20" si="7">D9*$C20</f>
        <v>7.4999999999999997E-2</v>
      </c>
      <c r="E20" s="3">
        <f t="shared" si="7"/>
        <v>1.2499999999999999E-2</v>
      </c>
      <c r="F20" s="3">
        <f t="shared" si="7"/>
        <v>7.4999999999999997E-2</v>
      </c>
      <c r="G20" s="3">
        <f t="shared" si="7"/>
        <v>3.7499999999999999E-2</v>
      </c>
      <c r="H20" s="3">
        <f t="shared" si="7"/>
        <v>0</v>
      </c>
      <c r="I20" s="3">
        <f t="shared" si="7"/>
        <v>0</v>
      </c>
    </row>
    <row r="21" spans="2:12" ht="15" thickBot="1" x14ac:dyDescent="0.4">
      <c r="B21" s="20">
        <v>8</v>
      </c>
      <c r="C21" s="21">
        <v>5.5E-2</v>
      </c>
      <c r="D21" s="20">
        <f>D10*$C21</f>
        <v>0</v>
      </c>
      <c r="E21" s="20">
        <f t="shared" ref="E21:I21" si="8">E10*$C21</f>
        <v>0</v>
      </c>
      <c r="F21" s="20">
        <f t="shared" si="8"/>
        <v>0</v>
      </c>
      <c r="G21" s="20">
        <f t="shared" si="8"/>
        <v>0</v>
      </c>
      <c r="H21" s="20">
        <f t="shared" si="8"/>
        <v>0</v>
      </c>
      <c r="I21" s="20">
        <f t="shared" si="8"/>
        <v>0</v>
      </c>
      <c r="K21" s="3" t="s">
        <v>74</v>
      </c>
      <c r="L21" s="3" t="s">
        <v>75</v>
      </c>
    </row>
    <row r="22" spans="2:12" ht="15" thickTop="1" x14ac:dyDescent="0.35">
      <c r="B22" s="6" t="s">
        <v>76</v>
      </c>
      <c r="C22" s="18">
        <f>SUM(C14:C21)</f>
        <v>1</v>
      </c>
      <c r="D22" s="19">
        <f>IF(D13&lt;&gt;"",SUM(D14:D21),NA())</f>
        <v>0.97249999999999992</v>
      </c>
      <c r="E22" s="19">
        <f t="shared" ref="E22:I22" si="9">IF(E13&lt;&gt;"",SUM(E14:E21),NA())</f>
        <v>0.38083333333333336</v>
      </c>
      <c r="F22" s="19">
        <f t="shared" si="9"/>
        <v>0.65499999999999992</v>
      </c>
      <c r="G22" s="19">
        <f t="shared" si="9"/>
        <v>0.43499999999999994</v>
      </c>
      <c r="H22" s="19">
        <f>IF(H13&lt;&gt;"",SUM(H14:H21),NA())</f>
        <v>-0.27499999999999991</v>
      </c>
      <c r="I22" s="19">
        <f t="shared" si="9"/>
        <v>1.1599999999999999</v>
      </c>
      <c r="K22" s="3">
        <v>-2</v>
      </c>
      <c r="L22" s="3">
        <v>2</v>
      </c>
    </row>
    <row r="23" spans="2:12" x14ac:dyDescent="0.35">
      <c r="B23" s="3" t="s">
        <v>77</v>
      </c>
      <c r="C23" s="16"/>
      <c r="D23" s="17">
        <f>(D22+2)/4*100</f>
        <v>74.3125</v>
      </c>
      <c r="E23" s="17">
        <f t="shared" ref="E23:I23" si="10">(E22+2)/4*100</f>
        <v>59.520833333333336</v>
      </c>
      <c r="F23" s="17">
        <f t="shared" si="10"/>
        <v>66.375</v>
      </c>
      <c r="G23" s="17">
        <f t="shared" si="10"/>
        <v>60.875</v>
      </c>
      <c r="H23" s="17">
        <f t="shared" si="10"/>
        <v>43.125</v>
      </c>
      <c r="I23" s="17">
        <f t="shared" si="10"/>
        <v>79</v>
      </c>
    </row>
    <row r="25" spans="2:12" x14ac:dyDescent="0.35">
      <c r="B25" s="13" t="s">
        <v>78</v>
      </c>
    </row>
    <row r="26" spans="2:12" x14ac:dyDescent="0.35">
      <c r="B26" s="3"/>
      <c r="C26" s="3"/>
      <c r="D26" s="14" t="str">
        <f>D2</f>
        <v>Credly</v>
      </c>
      <c r="E26" s="14" t="str">
        <f t="shared" ref="E26:I26" si="11">E2</f>
        <v>Accredible</v>
      </c>
      <c r="F26" s="14" t="str">
        <f t="shared" si="11"/>
        <v>Parchment</v>
      </c>
      <c r="G26" s="14" t="str">
        <f t="shared" si="11"/>
        <v>Canvas</v>
      </c>
      <c r="H26" s="14" t="str">
        <f t="shared" si="11"/>
        <v>Territorium</v>
      </c>
      <c r="I26" s="14" t="str">
        <f t="shared" si="11"/>
        <v>Credly</v>
      </c>
      <c r="K26" s="3" t="s">
        <v>74</v>
      </c>
      <c r="L26" s="3" t="s">
        <v>75</v>
      </c>
    </row>
    <row r="27" spans="2:12" x14ac:dyDescent="0.35">
      <c r="B27" s="3"/>
      <c r="C27" s="14" t="s">
        <v>52</v>
      </c>
      <c r="D27" s="3">
        <f>IF(D26&lt;&gt;"",'Step 2 competition'!C18,"")</f>
        <v>0</v>
      </c>
      <c r="E27" s="3">
        <f>IF(E26&lt;&gt;"",'Step 2 competition'!C19,"")</f>
        <v>0</v>
      </c>
      <c r="F27" s="3">
        <f>IF(F26&lt;&gt;"",'Step 2 competition'!C20,"")</f>
        <v>0</v>
      </c>
      <c r="G27" s="3">
        <f>IF(G26&lt;&gt;"",'Step 2 competition'!C21,"")</f>
        <v>0</v>
      </c>
      <c r="H27" s="3">
        <f>IF(H26&lt;&gt;"",'Step 2 competition'!C22,"")</f>
        <v>0</v>
      </c>
      <c r="I27" s="3">
        <f>IF(I26&lt;&gt;"",'Step 2 competition'!C23,"")</f>
        <v>0</v>
      </c>
      <c r="K27" s="3">
        <f>MIN($D$27:$I$27)-10</f>
        <v>-10</v>
      </c>
      <c r="L27" s="3">
        <f>MAX($D$27:$I$27)+10</f>
        <v>10</v>
      </c>
    </row>
    <row r="30" spans="2:12" x14ac:dyDescent="0.35">
      <c r="B30" s="3"/>
      <c r="C30" s="14" t="s">
        <v>79</v>
      </c>
      <c r="D30" s="14" t="s">
        <v>52</v>
      </c>
      <c r="E30" s="14" t="s">
        <v>54</v>
      </c>
      <c r="F30" s="14" t="s">
        <v>80</v>
      </c>
      <c r="G30" s="14" t="s">
        <v>81</v>
      </c>
      <c r="H30" s="14" t="s">
        <v>82</v>
      </c>
      <c r="I30" s="14" t="s">
        <v>83</v>
      </c>
      <c r="J30" s="14" t="s">
        <v>84</v>
      </c>
    </row>
    <row r="31" spans="2:12" x14ac:dyDescent="0.35">
      <c r="B31" s="3">
        <v>1</v>
      </c>
      <c r="C31" s="3" t="str">
        <f>IF(D13&lt;&gt;"",D13,"")</f>
        <v>Credly</v>
      </c>
      <c r="D31" s="3">
        <f>_xlfn.XLOOKUP($C31,'Step 2 competition'!$B$18:$B$23,'Step 2 competition'!$C$18:$C$23,"",0)</f>
        <v>0</v>
      </c>
      <c r="E31" s="57">
        <f>_xlfn.XLOOKUP($C31,'Step 2 competition'!$B$29:$B$34,'Step 2 competition'!$C$29:$C$34,"",0)</f>
        <v>0</v>
      </c>
      <c r="F31" s="23">
        <f t="shared" ref="F31:F34" si="12">IF(C31&lt;&gt;"",_xlfn.XLOOKUP(C31,$D$13:$I$13,$D$22:$I$22,"",0),"")</f>
        <v>0.97249999999999992</v>
      </c>
      <c r="G31" s="25">
        <f>IF(C31&lt;&gt;"",(F31+2)/4*100,"")</f>
        <v>74.3125</v>
      </c>
      <c r="H31" s="23">
        <f>IF(C31&lt;&gt;"",D31/G31,"")</f>
        <v>0</v>
      </c>
      <c r="I31" s="25">
        <f>IF(C31&lt;&gt;"",H31*E31,"")</f>
        <v>0</v>
      </c>
      <c r="J31" s="25" t="e" cm="1">
        <f t="array" ref="J31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2" spans="2:12" x14ac:dyDescent="0.35">
      <c r="B32" s="3">
        <v>2</v>
      </c>
      <c r="C32" s="3" t="str">
        <f>IF(E13&lt;&gt;"",E13,"")</f>
        <v>Accredible</v>
      </c>
      <c r="D32" s="3">
        <f>_xlfn.XLOOKUP($C32,'Step 2 competition'!$B$18:$B$23,'Step 2 competition'!$C$18:$C$23,"",0)</f>
        <v>0</v>
      </c>
      <c r="E32" s="57">
        <f>_xlfn.XLOOKUP($C32,'Step 2 competition'!$B$29:$B$34,'Step 2 competition'!$C$29:$C$34,"",0)</f>
        <v>0</v>
      </c>
      <c r="F32" s="23">
        <f t="shared" si="12"/>
        <v>0.38083333333333336</v>
      </c>
      <c r="G32" s="25">
        <f t="shared" ref="G32:G36" si="13">IF(C32&lt;&gt;"",(F32+2)/4*100,"")</f>
        <v>59.520833333333336</v>
      </c>
      <c r="H32" s="23">
        <f t="shared" ref="H32:H36" si="14">IF(C32&lt;&gt;"",D32/G32,"")</f>
        <v>0</v>
      </c>
      <c r="I32" s="25">
        <f t="shared" ref="I32:I36" si="15">IF(C32&lt;&gt;"",H32*E32,"")</f>
        <v>0</v>
      </c>
      <c r="J32" s="25" t="e" cm="1">
        <f t="array" ref="J32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3" spans="2:11" x14ac:dyDescent="0.35">
      <c r="B33" s="3">
        <v>3</v>
      </c>
      <c r="C33" s="3" t="str">
        <f>IF(F13&lt;&gt;"",F13,"")</f>
        <v>Parchment</v>
      </c>
      <c r="D33" s="3">
        <f>_xlfn.XLOOKUP($C33,'Step 2 competition'!$B$18:$B$23,'Step 2 competition'!$C$18:$C$23,"",0)</f>
        <v>0</v>
      </c>
      <c r="E33" s="57">
        <f>_xlfn.XLOOKUP($C33,'Step 2 competition'!$B$29:$B$34,'Step 2 competition'!$C$29:$C$34,"",0)</f>
        <v>0</v>
      </c>
      <c r="F33" s="23">
        <f t="shared" si="12"/>
        <v>0.65499999999999992</v>
      </c>
      <c r="G33" s="25">
        <f t="shared" si="13"/>
        <v>66.375</v>
      </c>
      <c r="H33" s="23">
        <f t="shared" si="14"/>
        <v>0</v>
      </c>
      <c r="I33" s="25">
        <f t="shared" si="15"/>
        <v>0</v>
      </c>
      <c r="J33" s="25" t="e" cm="1">
        <f t="array" ref="J33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4" spans="2:11" x14ac:dyDescent="0.35">
      <c r="B34" s="3">
        <v>4</v>
      </c>
      <c r="C34" s="3" t="str">
        <f>IF(G13&lt;&gt;"",G13,"")</f>
        <v>Canvas</v>
      </c>
      <c r="D34" s="3">
        <f>_xlfn.XLOOKUP($C34,'Step 2 competition'!$B$18:$B$23,'Step 2 competition'!$C$18:$C$23,"",0)</f>
        <v>0</v>
      </c>
      <c r="E34" s="57">
        <f>_xlfn.XLOOKUP($C34,'Step 2 competition'!$B$29:$B$34,'Step 2 competition'!$C$29:$C$34,"",0)</f>
        <v>0</v>
      </c>
      <c r="F34" s="23">
        <f t="shared" si="12"/>
        <v>0.43499999999999994</v>
      </c>
      <c r="G34" s="25">
        <f t="shared" si="13"/>
        <v>60.875</v>
      </c>
      <c r="H34" s="23">
        <f t="shared" si="14"/>
        <v>0</v>
      </c>
      <c r="I34" s="25">
        <f t="shared" si="15"/>
        <v>0</v>
      </c>
      <c r="J34" s="25" t="e" cm="1">
        <f t="array" ref="J34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5" spans="2:11" x14ac:dyDescent="0.35">
      <c r="B35" s="3">
        <v>5</v>
      </c>
      <c r="C35" s="3" t="str">
        <f>IF(H13&lt;&gt;"",H13,"")</f>
        <v>Territorium</v>
      </c>
      <c r="D35" s="3">
        <f>_xlfn.XLOOKUP($C35,'Step 2 competition'!$B$18:$B$23,'Step 2 competition'!$C$18:$C$23,"",0)</f>
        <v>0</v>
      </c>
      <c r="E35" s="57">
        <f>_xlfn.XLOOKUP($C35,'Step 2 competition'!$B$29:$B$34,'Step 2 competition'!$C$29:$C$34,"",0)</f>
        <v>0</v>
      </c>
      <c r="F35" s="23">
        <f>IF(C35&lt;&gt;"",_xlfn.XLOOKUP(C35,$D$13:$I$13,$D$22:$I$22,"",0),"")</f>
        <v>-0.27499999999999991</v>
      </c>
      <c r="G35" s="25">
        <f t="shared" si="13"/>
        <v>43.125</v>
      </c>
      <c r="H35" s="23">
        <f t="shared" si="14"/>
        <v>0</v>
      </c>
      <c r="I35" s="25">
        <f t="shared" si="15"/>
        <v>0</v>
      </c>
      <c r="J35" s="25" t="e" cm="1">
        <f t="array" ref="J35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6" spans="2:11" x14ac:dyDescent="0.35">
      <c r="B36" s="3">
        <v>6</v>
      </c>
      <c r="C36" s="3" t="str">
        <f>IF(I13&lt;&gt;"",I13,"")</f>
        <v>Credly</v>
      </c>
      <c r="D36" s="3" t="str">
        <f>IF(_xlfn.XLOOKUP($C36,'Step 2 competition'!$B$18:$B$23,'Step 2 competition'!$C$18:$C$23,"",0)=0,"",_xlfn.XLOOKUP($C36,'Step 2 competition'!$B$18:$B$23,'Step 2 competition'!$C$18:$C$23,"",0))</f>
        <v/>
      </c>
      <c r="E36" s="57" t="str">
        <f>IF(_xlfn.XLOOKUP($C36,'Step 2 competition'!$B$29:$B$34,'Step 2 competition'!$C$29:$C$34,"",0)=0,"",_xlfn.XLOOKUP($C36,'Step 2 competition'!$B$29:$B$34,'Step 2 competition'!$C$29:$C$34,"",0))</f>
        <v/>
      </c>
      <c r="F36" s="23">
        <f>IF(C36&lt;&gt;"",_xlfn.XLOOKUP(C36,$D$13:$I$13,$D$22:$I$22,"",0),"")</f>
        <v>0.97249999999999992</v>
      </c>
      <c r="G36" s="25">
        <f t="shared" si="13"/>
        <v>74.3125</v>
      </c>
      <c r="H36" s="23" t="e">
        <f t="shared" si="14"/>
        <v>#VALUE!</v>
      </c>
      <c r="I36" s="25" t="e">
        <f t="shared" si="15"/>
        <v>#VALUE!</v>
      </c>
      <c r="J36" s="25" t="e" cm="1">
        <f t="array" ref="J36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8" spans="2:11" x14ac:dyDescent="0.35">
      <c r="B38" s="13" t="s">
        <v>85</v>
      </c>
      <c r="D38" s="13" t="s">
        <v>86</v>
      </c>
    </row>
    <row r="39" spans="2:11" x14ac:dyDescent="0.35">
      <c r="B39" s="22" t="e">
        <f>SUMPRODUCT(D31:D36,E31:E36)/SUM(E31:E36)</f>
        <v>#DIV/0!</v>
      </c>
      <c r="D39" s="22" t="e">
        <f>SUMPRODUCT(E31:E36,G31:G36)/SUM(E31:E36)</f>
        <v>#DIV/0!</v>
      </c>
    </row>
    <row r="40" spans="2:11" x14ac:dyDescent="0.35">
      <c r="F40" s="13" t="s">
        <v>87</v>
      </c>
    </row>
    <row r="41" spans="2:11" x14ac:dyDescent="0.35">
      <c r="B41" s="13" t="s">
        <v>88</v>
      </c>
      <c r="C41" s="13" t="s">
        <v>89</v>
      </c>
      <c r="D41" s="13" t="s">
        <v>90</v>
      </c>
      <c r="F41" s="13" t="s">
        <v>74</v>
      </c>
      <c r="G41" s="13" t="s">
        <v>91</v>
      </c>
      <c r="J41" s="60">
        <v>0</v>
      </c>
      <c r="K41" s="61">
        <v>7112886.1520908838</v>
      </c>
    </row>
    <row r="42" spans="2:11" x14ac:dyDescent="0.35">
      <c r="B42" s="55">
        <f>MIN(G32:G36)</f>
        <v>43.125</v>
      </c>
      <c r="C42" s="55">
        <f>MAX(G32:G36)</f>
        <v>74.3125</v>
      </c>
      <c r="D42" s="55">
        <f>C42-B42</f>
        <v>31.1875</v>
      </c>
      <c r="F42">
        <f>C45</f>
        <v>0</v>
      </c>
      <c r="G42" s="22" t="e">
        <f>B39</f>
        <v>#DIV/0!</v>
      </c>
      <c r="J42" s="60">
        <v>0</v>
      </c>
      <c r="K42" s="61">
        <v>15912122.406492973</v>
      </c>
    </row>
    <row r="43" spans="2:11" x14ac:dyDescent="0.35">
      <c r="F43">
        <v>-2</v>
      </c>
      <c r="G43" s="22" t="e">
        <f>SUMPRODUCT(E31:E36,F31:F36)/SUM(E31:E36)</f>
        <v>#DIV/0!</v>
      </c>
      <c r="J43" s="60">
        <v>0</v>
      </c>
    </row>
    <row r="44" spans="2:11" x14ac:dyDescent="0.35">
      <c r="B44" s="13" t="s">
        <v>92</v>
      </c>
      <c r="C44" s="13" t="s">
        <v>93</v>
      </c>
      <c r="D44" s="13" t="s">
        <v>94</v>
      </c>
      <c r="J44" s="60">
        <v>0</v>
      </c>
    </row>
    <row r="45" spans="2:11" x14ac:dyDescent="0.35">
      <c r="B45" s="56">
        <v>0.7</v>
      </c>
      <c r="C45">
        <f>MAX(D32:D36)*B45</f>
        <v>0</v>
      </c>
      <c r="D45">
        <f>MAX(D32:D36)</f>
        <v>0</v>
      </c>
      <c r="J45" s="60">
        <v>0</v>
      </c>
    </row>
    <row r="46" spans="2:11" x14ac:dyDescent="0.35">
      <c r="J46" s="60">
        <v>0</v>
      </c>
    </row>
    <row r="47" spans="2:11" x14ac:dyDescent="0.35">
      <c r="B47" s="13" t="s">
        <v>95</v>
      </c>
      <c r="D47" s="13" t="s">
        <v>96</v>
      </c>
      <c r="E47" s="13" t="s">
        <v>97</v>
      </c>
      <c r="J47" s="60">
        <v>0</v>
      </c>
    </row>
    <row r="48" spans="2:11" x14ac:dyDescent="0.35">
      <c r="B48" s="22" t="e">
        <f>J31</f>
        <v>#N/A</v>
      </c>
      <c r="D48" s="22" t="e">
        <f>B51-10</f>
        <v>#N/A</v>
      </c>
      <c r="E48" s="22" t="e">
        <f>B51+10</f>
        <v>#N/A</v>
      </c>
      <c r="J48" s="60">
        <v>0</v>
      </c>
    </row>
    <row r="49" spans="2:18" x14ac:dyDescent="0.35">
      <c r="D49" s="58">
        <f>$F$31</f>
        <v>0.97249999999999992</v>
      </c>
      <c r="E49" s="58">
        <f>$F$31</f>
        <v>0.97249999999999992</v>
      </c>
      <c r="J49" s="60">
        <v>0</v>
      </c>
    </row>
    <row r="50" spans="2:18" x14ac:dyDescent="0.35">
      <c r="B50" s="13" t="s">
        <v>98</v>
      </c>
      <c r="J50" s="60">
        <v>0</v>
      </c>
    </row>
    <row r="51" spans="2:18" x14ac:dyDescent="0.35">
      <c r="B51" s="22" t="e">
        <f>ROUND(B48,-1)</f>
        <v>#N/A</v>
      </c>
    </row>
    <row r="53" spans="2:18" x14ac:dyDescent="0.35">
      <c r="B53" s="13" t="s">
        <v>99</v>
      </c>
    </row>
    <row r="54" spans="2:18" x14ac:dyDescent="0.35">
      <c r="B54" t="e">
        <f>D48&amp;" - "&amp;E48</f>
        <v>#N/A</v>
      </c>
    </row>
    <row r="58" spans="2:18" x14ac:dyDescent="0.35">
      <c r="H58" t="s">
        <v>4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f t="shared" ref="Q58:Q64" si="16">AVERAGE(I58:P58)</f>
        <v>1.125</v>
      </c>
      <c r="R58">
        <f t="shared" ref="R58:R64" si="17">RANK(Q58,$Q$58:$Q$64,1)</f>
        <v>1</v>
      </c>
    </row>
    <row r="59" spans="2:18" x14ac:dyDescent="0.35">
      <c r="H59" t="s">
        <v>6</v>
      </c>
      <c r="I59">
        <v>5</v>
      </c>
      <c r="J59">
        <v>3</v>
      </c>
      <c r="K59">
        <v>3</v>
      </c>
      <c r="L59">
        <v>5</v>
      </c>
      <c r="M59">
        <v>2</v>
      </c>
      <c r="N59">
        <v>5</v>
      </c>
      <c r="O59">
        <v>2</v>
      </c>
      <c r="P59">
        <v>3</v>
      </c>
      <c r="Q59">
        <f t="shared" si="16"/>
        <v>3.5</v>
      </c>
      <c r="R59">
        <f t="shared" si="17"/>
        <v>2</v>
      </c>
    </row>
    <row r="60" spans="2:18" x14ac:dyDescent="0.35">
      <c r="H60" t="s">
        <v>8</v>
      </c>
      <c r="I60">
        <v>5</v>
      </c>
      <c r="J60">
        <v>4</v>
      </c>
      <c r="K60">
        <v>6</v>
      </c>
      <c r="L60">
        <v>2</v>
      </c>
      <c r="M60">
        <v>4</v>
      </c>
      <c r="N60">
        <v>6</v>
      </c>
      <c r="O60">
        <v>2</v>
      </c>
      <c r="P60">
        <v>1</v>
      </c>
      <c r="Q60">
        <f t="shared" si="16"/>
        <v>3.75</v>
      </c>
      <c r="R60">
        <f t="shared" si="17"/>
        <v>3</v>
      </c>
    </row>
    <row r="61" spans="2:18" x14ac:dyDescent="0.35">
      <c r="H61" t="s">
        <v>10</v>
      </c>
      <c r="I61">
        <v>6</v>
      </c>
      <c r="J61">
        <v>6</v>
      </c>
      <c r="K61">
        <v>2</v>
      </c>
      <c r="L61">
        <v>2</v>
      </c>
      <c r="M61">
        <v>6</v>
      </c>
      <c r="N61">
        <v>4</v>
      </c>
      <c r="O61">
        <v>4</v>
      </c>
      <c r="P61">
        <v>3</v>
      </c>
      <c r="Q61">
        <f t="shared" si="16"/>
        <v>4.125</v>
      </c>
      <c r="R61">
        <f t="shared" si="17"/>
        <v>4</v>
      </c>
    </row>
    <row r="62" spans="2:18" x14ac:dyDescent="0.35">
      <c r="H62" t="s">
        <v>12</v>
      </c>
      <c r="I62">
        <v>4</v>
      </c>
      <c r="J62">
        <v>3</v>
      </c>
      <c r="K62">
        <v>5</v>
      </c>
      <c r="L62">
        <v>4</v>
      </c>
      <c r="M62">
        <v>7</v>
      </c>
      <c r="N62">
        <v>4</v>
      </c>
      <c r="O62">
        <v>2</v>
      </c>
      <c r="P62">
        <v>5</v>
      </c>
      <c r="Q62">
        <f t="shared" si="16"/>
        <v>4.25</v>
      </c>
      <c r="R62">
        <f t="shared" si="17"/>
        <v>5</v>
      </c>
    </row>
    <row r="63" spans="2:18" x14ac:dyDescent="0.35">
      <c r="H63" t="s">
        <v>14</v>
      </c>
      <c r="I63">
        <v>6</v>
      </c>
      <c r="J63">
        <v>4</v>
      </c>
      <c r="K63">
        <v>6</v>
      </c>
      <c r="L63">
        <v>5</v>
      </c>
      <c r="M63">
        <v>7</v>
      </c>
      <c r="N63">
        <v>3</v>
      </c>
      <c r="O63">
        <v>5</v>
      </c>
      <c r="P63">
        <v>3</v>
      </c>
      <c r="Q63">
        <f t="shared" si="16"/>
        <v>4.875</v>
      </c>
      <c r="R63">
        <f t="shared" si="17"/>
        <v>6</v>
      </c>
    </row>
    <row r="64" spans="2:18" x14ac:dyDescent="0.35">
      <c r="H64" t="s">
        <v>16</v>
      </c>
      <c r="I64">
        <v>7</v>
      </c>
      <c r="J64">
        <v>7</v>
      </c>
      <c r="K64">
        <v>7</v>
      </c>
      <c r="L64">
        <v>6</v>
      </c>
      <c r="M64">
        <v>7</v>
      </c>
      <c r="N64">
        <v>7</v>
      </c>
      <c r="O64">
        <v>3</v>
      </c>
      <c r="P64">
        <v>7</v>
      </c>
      <c r="Q64">
        <f t="shared" si="16"/>
        <v>6.375</v>
      </c>
      <c r="R64">
        <f t="shared" si="17"/>
        <v>7</v>
      </c>
    </row>
  </sheetData>
  <autoFilter ref="H57:R57" xr:uid="{C84A616A-5D0C-4620-84BF-FEF7087020FE}">
    <sortState xmlns:xlrd2="http://schemas.microsoft.com/office/spreadsheetml/2017/richdata2" ref="H58:R64">
      <sortCondition ref="R5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38FF-0F0E-4A98-8E6A-784FAD97357D}">
  <dimension ref="A1:G175"/>
  <sheetViews>
    <sheetView workbookViewId="0">
      <selection activeCell="A15" sqref="A15:A18"/>
    </sheetView>
  </sheetViews>
  <sheetFormatPr defaultColWidth="8.453125" defaultRowHeight="14.5" x14ac:dyDescent="0.35"/>
  <cols>
    <col min="1" max="1" width="40.453125" bestFit="1" customWidth="1"/>
    <col min="2" max="2" width="12.453125" style="12" bestFit="1" customWidth="1"/>
    <col min="3" max="3" width="8.81640625" bestFit="1" customWidth="1"/>
    <col min="6" max="6" width="39.1796875" bestFit="1" customWidth="1"/>
    <col min="7" max="7" width="12.453125" style="22" bestFit="1" customWidth="1"/>
    <col min="8" max="12" width="9.1796875" customWidth="1"/>
  </cols>
  <sheetData>
    <row r="1" spans="1:3" x14ac:dyDescent="0.35">
      <c r="A1" t="s">
        <v>100</v>
      </c>
      <c r="B1" s="12" t="s">
        <v>101</v>
      </c>
      <c r="C1" t="s">
        <v>102</v>
      </c>
    </row>
    <row r="2" spans="1:3" x14ac:dyDescent="0.35">
      <c r="A2" t="s">
        <v>103</v>
      </c>
      <c r="B2" s="12">
        <v>89588268</v>
      </c>
      <c r="C2" t="s">
        <v>104</v>
      </c>
    </row>
    <row r="3" spans="1:3" x14ac:dyDescent="0.35">
      <c r="A3" t="s">
        <v>105</v>
      </c>
      <c r="B3" s="12">
        <v>27604029</v>
      </c>
      <c r="C3" t="s">
        <v>104</v>
      </c>
    </row>
    <row r="4" spans="1:3" x14ac:dyDescent="0.35">
      <c r="A4" t="s">
        <v>106</v>
      </c>
      <c r="B4" s="12">
        <v>24860878</v>
      </c>
      <c r="C4" t="s">
        <v>104</v>
      </c>
    </row>
    <row r="5" spans="1:3" x14ac:dyDescent="0.35">
      <c r="A5" t="s">
        <v>107</v>
      </c>
      <c r="B5" s="12">
        <v>5970381</v>
      </c>
      <c r="C5" t="s">
        <v>108</v>
      </c>
    </row>
    <row r="6" spans="1:3" x14ac:dyDescent="0.35">
      <c r="A6" t="s">
        <v>109</v>
      </c>
      <c r="B6" s="12">
        <v>5626341</v>
      </c>
      <c r="C6" t="s">
        <v>108</v>
      </c>
    </row>
    <row r="7" spans="1:3" x14ac:dyDescent="0.35">
      <c r="A7" t="s">
        <v>110</v>
      </c>
      <c r="B7" s="12">
        <v>5595099</v>
      </c>
      <c r="C7" t="s">
        <v>108</v>
      </c>
    </row>
    <row r="8" spans="1:3" x14ac:dyDescent="0.35">
      <c r="A8" t="s">
        <v>111</v>
      </c>
      <c r="B8" s="12">
        <v>4048257</v>
      </c>
      <c r="C8" t="s">
        <v>104</v>
      </c>
    </row>
    <row r="9" spans="1:3" x14ac:dyDescent="0.35">
      <c r="A9" t="s">
        <v>112</v>
      </c>
      <c r="B9" s="12">
        <v>3765606</v>
      </c>
      <c r="C9" t="s">
        <v>108</v>
      </c>
    </row>
    <row r="10" spans="1:3" x14ac:dyDescent="0.35">
      <c r="A10" t="s">
        <v>113</v>
      </c>
      <c r="B10" s="12">
        <v>3452158</v>
      </c>
      <c r="C10" t="s">
        <v>108</v>
      </c>
    </row>
    <row r="11" spans="1:3" x14ac:dyDescent="0.35">
      <c r="A11" t="s">
        <v>114</v>
      </c>
      <c r="B11" s="12">
        <v>2873716</v>
      </c>
      <c r="C11" t="s">
        <v>104</v>
      </c>
    </row>
    <row r="12" spans="1:3" x14ac:dyDescent="0.35">
      <c r="A12" t="s">
        <v>115</v>
      </c>
      <c r="B12" s="12">
        <v>2470242</v>
      </c>
      <c r="C12" t="s">
        <v>104</v>
      </c>
    </row>
    <row r="13" spans="1:3" x14ac:dyDescent="0.35">
      <c r="A13" t="s">
        <v>116</v>
      </c>
      <c r="B13" s="12">
        <v>2147990</v>
      </c>
      <c r="C13" t="s">
        <v>104</v>
      </c>
    </row>
    <row r="14" spans="1:3" x14ac:dyDescent="0.35">
      <c r="A14" t="s">
        <v>117</v>
      </c>
      <c r="B14" s="12">
        <v>2074439</v>
      </c>
      <c r="C14" t="s">
        <v>104</v>
      </c>
    </row>
    <row r="15" spans="1:3" x14ac:dyDescent="0.35">
      <c r="A15" t="s">
        <v>118</v>
      </c>
      <c r="B15" s="12">
        <v>1987732</v>
      </c>
      <c r="C15" t="s">
        <v>108</v>
      </c>
    </row>
    <row r="16" spans="1:3" x14ac:dyDescent="0.35">
      <c r="A16" t="s">
        <v>119</v>
      </c>
      <c r="B16" s="12">
        <v>1367467</v>
      </c>
      <c r="C16" t="s">
        <v>108</v>
      </c>
    </row>
    <row r="17" spans="1:3" x14ac:dyDescent="0.35">
      <c r="A17" t="s">
        <v>120</v>
      </c>
      <c r="B17" s="12">
        <v>1276520</v>
      </c>
      <c r="C17" t="s">
        <v>108</v>
      </c>
    </row>
    <row r="18" spans="1:3" x14ac:dyDescent="0.35">
      <c r="A18" t="s">
        <v>121</v>
      </c>
      <c r="B18" s="12">
        <v>1192361</v>
      </c>
      <c r="C18" t="s">
        <v>108</v>
      </c>
    </row>
    <row r="19" spans="1:3" x14ac:dyDescent="0.35">
      <c r="A19" t="s">
        <v>122</v>
      </c>
      <c r="B19" s="12">
        <v>1079699</v>
      </c>
      <c r="C19" t="s">
        <v>108</v>
      </c>
    </row>
    <row r="20" spans="1:3" x14ac:dyDescent="0.35">
      <c r="A20" t="s">
        <v>123</v>
      </c>
      <c r="B20" s="12">
        <v>782731</v>
      </c>
      <c r="C20" t="s">
        <v>108</v>
      </c>
    </row>
    <row r="21" spans="1:3" x14ac:dyDescent="0.35">
      <c r="A21" t="s">
        <v>124</v>
      </c>
      <c r="B21" s="12">
        <v>775664</v>
      </c>
      <c r="C21" t="s">
        <v>104</v>
      </c>
    </row>
    <row r="22" spans="1:3" x14ac:dyDescent="0.35">
      <c r="A22" t="s">
        <v>125</v>
      </c>
      <c r="B22" s="12">
        <v>641977</v>
      </c>
    </row>
    <row r="23" spans="1:3" x14ac:dyDescent="0.35">
      <c r="A23" t="s">
        <v>126</v>
      </c>
      <c r="B23" s="12">
        <v>629027</v>
      </c>
    </row>
    <row r="24" spans="1:3" x14ac:dyDescent="0.35">
      <c r="A24" t="s">
        <v>127</v>
      </c>
      <c r="B24" s="12">
        <v>479114</v>
      </c>
      <c r="C24" t="s">
        <v>104</v>
      </c>
    </row>
    <row r="25" spans="1:3" x14ac:dyDescent="0.35">
      <c r="A25" t="s">
        <v>128</v>
      </c>
      <c r="B25" s="12">
        <v>400153</v>
      </c>
    </row>
    <row r="26" spans="1:3" x14ac:dyDescent="0.35">
      <c r="A26" t="s">
        <v>129</v>
      </c>
      <c r="B26" s="12">
        <v>362270</v>
      </c>
    </row>
    <row r="27" spans="1:3" x14ac:dyDescent="0.35">
      <c r="A27" t="s">
        <v>130</v>
      </c>
      <c r="B27" s="12">
        <v>348785</v>
      </c>
    </row>
    <row r="28" spans="1:3" x14ac:dyDescent="0.35">
      <c r="A28" t="s">
        <v>131</v>
      </c>
      <c r="B28" s="12">
        <v>345442</v>
      </c>
    </row>
    <row r="29" spans="1:3" x14ac:dyDescent="0.35">
      <c r="A29" t="s">
        <v>132</v>
      </c>
      <c r="B29" s="12">
        <v>338770</v>
      </c>
    </row>
    <row r="30" spans="1:3" x14ac:dyDescent="0.35">
      <c r="A30" t="s">
        <v>133</v>
      </c>
      <c r="B30" s="12">
        <v>333211</v>
      </c>
    </row>
    <row r="31" spans="1:3" x14ac:dyDescent="0.35">
      <c r="A31" t="s">
        <v>134</v>
      </c>
      <c r="B31" s="12">
        <v>306177</v>
      </c>
    </row>
    <row r="32" spans="1:3" x14ac:dyDescent="0.35">
      <c r="A32" t="s">
        <v>135</v>
      </c>
      <c r="B32" s="12">
        <v>282456</v>
      </c>
    </row>
    <row r="33" spans="1:3" x14ac:dyDescent="0.35">
      <c r="A33" t="s">
        <v>136</v>
      </c>
      <c r="B33" s="12">
        <v>239523</v>
      </c>
    </row>
    <row r="34" spans="1:3" x14ac:dyDescent="0.35">
      <c r="A34" t="s">
        <v>137</v>
      </c>
      <c r="B34" s="12">
        <v>227681</v>
      </c>
    </row>
    <row r="35" spans="1:3" x14ac:dyDescent="0.35">
      <c r="A35" t="s">
        <v>138</v>
      </c>
      <c r="B35" s="12">
        <v>203241</v>
      </c>
      <c r="C35" t="s">
        <v>108</v>
      </c>
    </row>
    <row r="36" spans="1:3" x14ac:dyDescent="0.35">
      <c r="A36" t="s">
        <v>139</v>
      </c>
      <c r="B36" s="12">
        <v>200161</v>
      </c>
    </row>
    <row r="37" spans="1:3" x14ac:dyDescent="0.35">
      <c r="A37" t="s">
        <v>140</v>
      </c>
      <c r="B37" s="12">
        <v>189945</v>
      </c>
    </row>
    <row r="38" spans="1:3" x14ac:dyDescent="0.35">
      <c r="A38" t="s">
        <v>141</v>
      </c>
      <c r="B38" s="12">
        <v>164516</v>
      </c>
    </row>
    <row r="39" spans="1:3" x14ac:dyDescent="0.35">
      <c r="A39" t="s">
        <v>142</v>
      </c>
      <c r="B39" s="12">
        <v>161450</v>
      </c>
    </row>
    <row r="40" spans="1:3" x14ac:dyDescent="0.35">
      <c r="A40" t="s">
        <v>143</v>
      </c>
      <c r="B40" s="12">
        <v>145440</v>
      </c>
    </row>
    <row r="41" spans="1:3" x14ac:dyDescent="0.35">
      <c r="A41" t="s">
        <v>144</v>
      </c>
      <c r="B41" s="12">
        <v>120135</v>
      </c>
    </row>
    <row r="42" spans="1:3" x14ac:dyDescent="0.35">
      <c r="A42" t="s">
        <v>145</v>
      </c>
      <c r="B42" s="12">
        <v>113825</v>
      </c>
    </row>
    <row r="43" spans="1:3" x14ac:dyDescent="0.35">
      <c r="A43" t="s">
        <v>146</v>
      </c>
      <c r="B43" s="12">
        <v>110879</v>
      </c>
    </row>
    <row r="44" spans="1:3" x14ac:dyDescent="0.35">
      <c r="A44" t="s">
        <v>147</v>
      </c>
      <c r="B44" s="12">
        <v>109383</v>
      </c>
    </row>
    <row r="45" spans="1:3" x14ac:dyDescent="0.35">
      <c r="A45" t="s">
        <v>148</v>
      </c>
      <c r="B45" s="12">
        <v>102402</v>
      </c>
    </row>
    <row r="46" spans="1:3" x14ac:dyDescent="0.35">
      <c r="A46" t="s">
        <v>149</v>
      </c>
      <c r="B46" s="12">
        <v>98996</v>
      </c>
    </row>
    <row r="47" spans="1:3" x14ac:dyDescent="0.35">
      <c r="A47" t="s">
        <v>150</v>
      </c>
      <c r="B47" s="12">
        <v>93974</v>
      </c>
    </row>
    <row r="48" spans="1:3" x14ac:dyDescent="0.35">
      <c r="A48" t="s">
        <v>151</v>
      </c>
      <c r="B48" s="12">
        <v>88848</v>
      </c>
    </row>
    <row r="49" spans="1:3" x14ac:dyDescent="0.35">
      <c r="A49" t="s">
        <v>152</v>
      </c>
      <c r="B49" s="12">
        <v>83307</v>
      </c>
    </row>
    <row r="50" spans="1:3" x14ac:dyDescent="0.35">
      <c r="A50" t="s">
        <v>153</v>
      </c>
      <c r="B50" s="12">
        <v>79186</v>
      </c>
    </row>
    <row r="51" spans="1:3" x14ac:dyDescent="0.35">
      <c r="A51" t="s">
        <v>154</v>
      </c>
      <c r="B51" s="12">
        <v>73823</v>
      </c>
    </row>
    <row r="52" spans="1:3" x14ac:dyDescent="0.35">
      <c r="A52" t="s">
        <v>155</v>
      </c>
      <c r="B52" s="12">
        <v>73713</v>
      </c>
    </row>
    <row r="53" spans="1:3" x14ac:dyDescent="0.35">
      <c r="A53" t="s">
        <v>156</v>
      </c>
      <c r="B53" s="12">
        <v>70768</v>
      </c>
    </row>
    <row r="54" spans="1:3" x14ac:dyDescent="0.35">
      <c r="A54" t="s">
        <v>157</v>
      </c>
      <c r="B54" s="12">
        <v>68722</v>
      </c>
    </row>
    <row r="55" spans="1:3" x14ac:dyDescent="0.35">
      <c r="A55" t="s">
        <v>158</v>
      </c>
      <c r="B55" s="12">
        <v>67453</v>
      </c>
    </row>
    <row r="56" spans="1:3" x14ac:dyDescent="0.35">
      <c r="A56" t="s">
        <v>159</v>
      </c>
      <c r="B56" s="12">
        <v>63114</v>
      </c>
    </row>
    <row r="57" spans="1:3" x14ac:dyDescent="0.35">
      <c r="A57" t="s">
        <v>160</v>
      </c>
      <c r="B57" s="12">
        <v>60661</v>
      </c>
    </row>
    <row r="58" spans="1:3" x14ac:dyDescent="0.35">
      <c r="A58" t="s">
        <v>161</v>
      </c>
      <c r="B58" s="12">
        <v>60326</v>
      </c>
    </row>
    <row r="59" spans="1:3" x14ac:dyDescent="0.35">
      <c r="A59" t="s">
        <v>162</v>
      </c>
      <c r="B59" s="12">
        <v>55654</v>
      </c>
    </row>
    <row r="60" spans="1:3" x14ac:dyDescent="0.35">
      <c r="A60" t="s">
        <v>163</v>
      </c>
      <c r="B60" s="12">
        <v>52551</v>
      </c>
    </row>
    <row r="61" spans="1:3" x14ac:dyDescent="0.35">
      <c r="A61" t="s">
        <v>164</v>
      </c>
      <c r="B61" s="12">
        <v>50199</v>
      </c>
    </row>
    <row r="62" spans="1:3" x14ac:dyDescent="0.35">
      <c r="A62" t="s">
        <v>165</v>
      </c>
      <c r="B62" s="12">
        <v>49415</v>
      </c>
      <c r="C62" t="s">
        <v>108</v>
      </c>
    </row>
    <row r="63" spans="1:3" x14ac:dyDescent="0.35">
      <c r="A63" t="s">
        <v>166</v>
      </c>
      <c r="B63" s="12">
        <v>42874</v>
      </c>
    </row>
    <row r="64" spans="1:3" x14ac:dyDescent="0.35">
      <c r="A64" t="s">
        <v>167</v>
      </c>
      <c r="B64" s="12">
        <v>41533</v>
      </c>
    </row>
    <row r="65" spans="1:2" x14ac:dyDescent="0.35">
      <c r="A65" t="s">
        <v>168</v>
      </c>
      <c r="B65" s="12">
        <v>38722</v>
      </c>
    </row>
    <row r="66" spans="1:2" x14ac:dyDescent="0.35">
      <c r="A66" t="s">
        <v>169</v>
      </c>
      <c r="B66" s="12">
        <v>36027</v>
      </c>
    </row>
    <row r="67" spans="1:2" x14ac:dyDescent="0.35">
      <c r="A67" t="s">
        <v>170</v>
      </c>
      <c r="B67" s="12">
        <v>34037</v>
      </c>
    </row>
    <row r="68" spans="1:2" x14ac:dyDescent="0.35">
      <c r="A68" t="s">
        <v>171</v>
      </c>
      <c r="B68" s="12">
        <v>33593</v>
      </c>
    </row>
    <row r="69" spans="1:2" x14ac:dyDescent="0.35">
      <c r="A69" t="s">
        <v>172</v>
      </c>
      <c r="B69" s="12">
        <v>24659</v>
      </c>
    </row>
    <row r="70" spans="1:2" x14ac:dyDescent="0.35">
      <c r="A70" t="s">
        <v>173</v>
      </c>
      <c r="B70" s="12">
        <v>24327</v>
      </c>
    </row>
    <row r="71" spans="1:2" x14ac:dyDescent="0.35">
      <c r="A71" t="s">
        <v>174</v>
      </c>
      <c r="B71" s="12">
        <v>24124</v>
      </c>
    </row>
    <row r="72" spans="1:2" x14ac:dyDescent="0.35">
      <c r="A72" t="s">
        <v>175</v>
      </c>
      <c r="B72" s="12">
        <v>23750</v>
      </c>
    </row>
    <row r="73" spans="1:2" x14ac:dyDescent="0.35">
      <c r="A73" t="s">
        <v>176</v>
      </c>
      <c r="B73" s="12">
        <v>22787</v>
      </c>
    </row>
    <row r="74" spans="1:2" x14ac:dyDescent="0.35">
      <c r="A74" t="s">
        <v>177</v>
      </c>
      <c r="B74" s="12">
        <v>22228</v>
      </c>
    </row>
    <row r="75" spans="1:2" x14ac:dyDescent="0.35">
      <c r="A75" t="s">
        <v>178</v>
      </c>
      <c r="B75" s="12">
        <v>20376</v>
      </c>
    </row>
    <row r="76" spans="1:2" x14ac:dyDescent="0.35">
      <c r="A76" t="s">
        <v>179</v>
      </c>
      <c r="B76" s="12">
        <v>20270</v>
      </c>
    </row>
    <row r="77" spans="1:2" x14ac:dyDescent="0.35">
      <c r="A77" t="s">
        <v>180</v>
      </c>
      <c r="B77" s="12">
        <v>18831</v>
      </c>
    </row>
    <row r="78" spans="1:2" x14ac:dyDescent="0.35">
      <c r="A78" t="s">
        <v>181</v>
      </c>
      <c r="B78" s="12">
        <v>18674</v>
      </c>
    </row>
    <row r="79" spans="1:2" x14ac:dyDescent="0.35">
      <c r="A79" t="s">
        <v>182</v>
      </c>
      <c r="B79" s="12">
        <v>18543</v>
      </c>
    </row>
    <row r="80" spans="1:2" x14ac:dyDescent="0.35">
      <c r="A80" t="s">
        <v>183</v>
      </c>
      <c r="B80" s="12">
        <v>18031</v>
      </c>
    </row>
    <row r="81" spans="1:2" x14ac:dyDescent="0.35">
      <c r="A81" t="s">
        <v>184</v>
      </c>
      <c r="B81" s="12">
        <v>17748</v>
      </c>
    </row>
    <row r="82" spans="1:2" x14ac:dyDescent="0.35">
      <c r="A82" t="s">
        <v>185</v>
      </c>
      <c r="B82" s="12">
        <v>16985</v>
      </c>
    </row>
    <row r="83" spans="1:2" x14ac:dyDescent="0.35">
      <c r="A83" t="s">
        <v>186</v>
      </c>
      <c r="B83" s="12">
        <v>16382</v>
      </c>
    </row>
    <row r="84" spans="1:2" x14ac:dyDescent="0.35">
      <c r="A84" t="s">
        <v>187</v>
      </c>
      <c r="B84" s="12">
        <v>16098</v>
      </c>
    </row>
    <row r="85" spans="1:2" x14ac:dyDescent="0.35">
      <c r="A85" t="s">
        <v>188</v>
      </c>
      <c r="B85" s="12">
        <v>15811</v>
      </c>
    </row>
    <row r="86" spans="1:2" x14ac:dyDescent="0.35">
      <c r="A86" t="s">
        <v>189</v>
      </c>
      <c r="B86" s="12">
        <v>15181</v>
      </c>
    </row>
    <row r="87" spans="1:2" x14ac:dyDescent="0.35">
      <c r="A87" t="s">
        <v>190</v>
      </c>
      <c r="B87" s="12">
        <v>14736</v>
      </c>
    </row>
    <row r="88" spans="1:2" x14ac:dyDescent="0.35">
      <c r="A88" t="s">
        <v>191</v>
      </c>
      <c r="B88" s="12">
        <v>14189</v>
      </c>
    </row>
    <row r="89" spans="1:2" x14ac:dyDescent="0.35">
      <c r="A89" t="s">
        <v>192</v>
      </c>
      <c r="B89" s="12">
        <v>12925</v>
      </c>
    </row>
    <row r="90" spans="1:2" x14ac:dyDescent="0.35">
      <c r="A90" t="s">
        <v>193</v>
      </c>
      <c r="B90" s="12">
        <v>12896</v>
      </c>
    </row>
    <row r="91" spans="1:2" x14ac:dyDescent="0.35">
      <c r="A91" t="s">
        <v>194</v>
      </c>
      <c r="B91" s="12">
        <v>12403</v>
      </c>
    </row>
    <row r="92" spans="1:2" x14ac:dyDescent="0.35">
      <c r="A92" t="s">
        <v>195</v>
      </c>
      <c r="B92" s="12">
        <v>12083</v>
      </c>
    </row>
    <row r="93" spans="1:2" x14ac:dyDescent="0.35">
      <c r="A93" t="s">
        <v>196</v>
      </c>
      <c r="B93" s="12">
        <v>11935</v>
      </c>
    </row>
    <row r="94" spans="1:2" x14ac:dyDescent="0.35">
      <c r="A94" t="s">
        <v>197</v>
      </c>
      <c r="B94" s="12">
        <v>11766</v>
      </c>
    </row>
    <row r="95" spans="1:2" x14ac:dyDescent="0.35">
      <c r="A95" t="s">
        <v>198</v>
      </c>
      <c r="B95" s="12">
        <v>10539</v>
      </c>
    </row>
    <row r="96" spans="1:2" x14ac:dyDescent="0.35">
      <c r="A96" t="s">
        <v>199</v>
      </c>
      <c r="B96" s="12">
        <v>9791</v>
      </c>
    </row>
    <row r="97" spans="1:2" x14ac:dyDescent="0.35">
      <c r="A97" t="s">
        <v>200</v>
      </c>
      <c r="B97" s="12">
        <v>9606</v>
      </c>
    </row>
    <row r="98" spans="1:2" x14ac:dyDescent="0.35">
      <c r="A98" t="s">
        <v>201</v>
      </c>
      <c r="B98" s="12">
        <v>9467</v>
      </c>
    </row>
    <row r="99" spans="1:2" x14ac:dyDescent="0.35">
      <c r="A99" t="s">
        <v>202</v>
      </c>
      <c r="B99" s="12">
        <v>8427</v>
      </c>
    </row>
    <row r="100" spans="1:2" x14ac:dyDescent="0.35">
      <c r="A100" t="s">
        <v>203</v>
      </c>
      <c r="B100" s="12">
        <v>8346</v>
      </c>
    </row>
    <row r="101" spans="1:2" x14ac:dyDescent="0.35">
      <c r="A101" t="s">
        <v>204</v>
      </c>
      <c r="B101" s="12">
        <v>8057</v>
      </c>
    </row>
    <row r="102" spans="1:2" x14ac:dyDescent="0.35">
      <c r="A102" t="s">
        <v>205</v>
      </c>
      <c r="B102" s="12">
        <v>7855</v>
      </c>
    </row>
    <row r="103" spans="1:2" x14ac:dyDescent="0.35">
      <c r="A103" t="s">
        <v>206</v>
      </c>
      <c r="B103" s="12">
        <v>7659</v>
      </c>
    </row>
    <row r="104" spans="1:2" x14ac:dyDescent="0.35">
      <c r="A104" t="s">
        <v>207</v>
      </c>
      <c r="B104" s="12">
        <v>6929</v>
      </c>
    </row>
    <row r="105" spans="1:2" x14ac:dyDescent="0.35">
      <c r="A105" t="s">
        <v>208</v>
      </c>
      <c r="B105" s="12">
        <v>5984</v>
      </c>
    </row>
    <row r="106" spans="1:2" x14ac:dyDescent="0.35">
      <c r="A106" t="s">
        <v>209</v>
      </c>
      <c r="B106" s="12">
        <v>5429</v>
      </c>
    </row>
    <row r="107" spans="1:2" x14ac:dyDescent="0.35">
      <c r="A107" t="s">
        <v>210</v>
      </c>
      <c r="B107" s="12">
        <v>5083</v>
      </c>
    </row>
    <row r="108" spans="1:2" x14ac:dyDescent="0.35">
      <c r="A108" t="s">
        <v>211</v>
      </c>
      <c r="B108" s="12">
        <v>4295</v>
      </c>
    </row>
    <row r="109" spans="1:2" x14ac:dyDescent="0.35">
      <c r="A109" t="s">
        <v>212</v>
      </c>
      <c r="B109" s="12">
        <v>4244</v>
      </c>
    </row>
    <row r="110" spans="1:2" x14ac:dyDescent="0.35">
      <c r="A110" t="s">
        <v>213</v>
      </c>
      <c r="B110" s="12">
        <v>3984</v>
      </c>
    </row>
    <row r="111" spans="1:2" x14ac:dyDescent="0.35">
      <c r="A111" t="s">
        <v>214</v>
      </c>
      <c r="B111" s="12">
        <v>3846</v>
      </c>
    </row>
    <row r="112" spans="1:2" x14ac:dyDescent="0.35">
      <c r="A112" t="s">
        <v>215</v>
      </c>
      <c r="B112" s="12">
        <v>3465</v>
      </c>
    </row>
    <row r="113" spans="1:2" x14ac:dyDescent="0.35">
      <c r="A113" t="s">
        <v>216</v>
      </c>
      <c r="B113" s="12">
        <v>3441</v>
      </c>
    </row>
    <row r="114" spans="1:2" x14ac:dyDescent="0.35">
      <c r="A114" t="s">
        <v>217</v>
      </c>
      <c r="B114" s="12">
        <v>3417</v>
      </c>
    </row>
    <row r="115" spans="1:2" x14ac:dyDescent="0.35">
      <c r="A115" t="s">
        <v>218</v>
      </c>
      <c r="B115" s="12">
        <v>2953</v>
      </c>
    </row>
    <row r="116" spans="1:2" x14ac:dyDescent="0.35">
      <c r="A116" t="s">
        <v>219</v>
      </c>
      <c r="B116" s="12">
        <v>2425</v>
      </c>
    </row>
    <row r="117" spans="1:2" x14ac:dyDescent="0.35">
      <c r="A117" t="s">
        <v>220</v>
      </c>
      <c r="B117" s="12">
        <v>1701</v>
      </c>
    </row>
    <row r="118" spans="1:2" x14ac:dyDescent="0.35">
      <c r="A118" t="s">
        <v>221</v>
      </c>
      <c r="B118" s="12">
        <v>1571</v>
      </c>
    </row>
    <row r="119" spans="1:2" x14ac:dyDescent="0.35">
      <c r="A119" t="s">
        <v>222</v>
      </c>
      <c r="B119" s="12">
        <v>1392</v>
      </c>
    </row>
    <row r="120" spans="1:2" x14ac:dyDescent="0.35">
      <c r="A120" t="s">
        <v>223</v>
      </c>
      <c r="B120" s="12">
        <v>1161</v>
      </c>
    </row>
    <row r="121" spans="1:2" x14ac:dyDescent="0.35">
      <c r="A121" t="s">
        <v>224</v>
      </c>
      <c r="B121" s="12">
        <v>295</v>
      </c>
    </row>
    <row r="122" spans="1:2" x14ac:dyDescent="0.35">
      <c r="A122" t="s">
        <v>225</v>
      </c>
      <c r="B122" s="12">
        <v>173</v>
      </c>
    </row>
    <row r="123" spans="1:2" x14ac:dyDescent="0.35">
      <c r="A123" t="s">
        <v>226</v>
      </c>
      <c r="B123" s="12">
        <v>98</v>
      </c>
    </row>
    <row r="124" spans="1:2" x14ac:dyDescent="0.35">
      <c r="A124" t="s">
        <v>227</v>
      </c>
      <c r="B124" s="12">
        <v>39</v>
      </c>
    </row>
    <row r="125" spans="1:2" x14ac:dyDescent="0.35">
      <c r="A125" t="s">
        <v>228</v>
      </c>
      <c r="B125" s="12">
        <v>0</v>
      </c>
    </row>
    <row r="126" spans="1:2" x14ac:dyDescent="0.35">
      <c r="A126" t="s">
        <v>229</v>
      </c>
      <c r="B126" s="12">
        <v>0</v>
      </c>
    </row>
    <row r="127" spans="1:2" x14ac:dyDescent="0.35">
      <c r="A127" t="s">
        <v>230</v>
      </c>
      <c r="B127" s="12">
        <v>0</v>
      </c>
    </row>
    <row r="128" spans="1:2" x14ac:dyDescent="0.35">
      <c r="A128" t="s">
        <v>231</v>
      </c>
      <c r="B128" s="12">
        <v>0</v>
      </c>
    </row>
    <row r="129" spans="1:2" x14ac:dyDescent="0.35">
      <c r="A129" t="s">
        <v>232</v>
      </c>
      <c r="B129" s="12">
        <v>0</v>
      </c>
    </row>
    <row r="130" spans="1:2" x14ac:dyDescent="0.35">
      <c r="A130" t="s">
        <v>233</v>
      </c>
      <c r="B130" s="12">
        <v>0</v>
      </c>
    </row>
    <row r="131" spans="1:2" x14ac:dyDescent="0.35">
      <c r="A131" t="s">
        <v>234</v>
      </c>
      <c r="B131" s="12">
        <v>0</v>
      </c>
    </row>
    <row r="132" spans="1:2" x14ac:dyDescent="0.35">
      <c r="A132" t="s">
        <v>235</v>
      </c>
      <c r="B132" s="12">
        <v>0</v>
      </c>
    </row>
    <row r="133" spans="1:2" x14ac:dyDescent="0.35">
      <c r="A133" t="s">
        <v>236</v>
      </c>
      <c r="B133" s="12">
        <v>0</v>
      </c>
    </row>
    <row r="134" spans="1:2" x14ac:dyDescent="0.35">
      <c r="A134" t="s">
        <v>237</v>
      </c>
      <c r="B134" s="12">
        <v>0</v>
      </c>
    </row>
    <row r="135" spans="1:2" x14ac:dyDescent="0.35">
      <c r="A135" t="s">
        <v>238</v>
      </c>
      <c r="B135" s="12">
        <v>0</v>
      </c>
    </row>
    <row r="136" spans="1:2" x14ac:dyDescent="0.35">
      <c r="A136" t="s">
        <v>239</v>
      </c>
      <c r="B136" s="12">
        <v>0</v>
      </c>
    </row>
    <row r="137" spans="1:2" x14ac:dyDescent="0.35">
      <c r="A137" t="s">
        <v>240</v>
      </c>
      <c r="B137" s="12">
        <v>0</v>
      </c>
    </row>
    <row r="138" spans="1:2" x14ac:dyDescent="0.35">
      <c r="A138" t="s">
        <v>241</v>
      </c>
      <c r="B138" s="12">
        <v>0</v>
      </c>
    </row>
    <row r="139" spans="1:2" x14ac:dyDescent="0.35">
      <c r="A139" t="s">
        <v>242</v>
      </c>
      <c r="B139" s="12">
        <v>0</v>
      </c>
    </row>
    <row r="140" spans="1:2" x14ac:dyDescent="0.35">
      <c r="A140" t="s">
        <v>243</v>
      </c>
      <c r="B140" s="12">
        <v>0</v>
      </c>
    </row>
    <row r="141" spans="1:2" x14ac:dyDescent="0.35">
      <c r="A141" t="s">
        <v>244</v>
      </c>
      <c r="B141" s="12">
        <v>0</v>
      </c>
    </row>
    <row r="142" spans="1:2" x14ac:dyDescent="0.35">
      <c r="A142" t="s">
        <v>245</v>
      </c>
      <c r="B142" s="12">
        <v>0</v>
      </c>
    </row>
    <row r="143" spans="1:2" x14ac:dyDescent="0.35">
      <c r="A143" t="s">
        <v>246</v>
      </c>
      <c r="B143" s="12">
        <v>0</v>
      </c>
    </row>
    <row r="144" spans="1:2" x14ac:dyDescent="0.35">
      <c r="A144" t="s">
        <v>247</v>
      </c>
      <c r="B144" s="12">
        <v>0</v>
      </c>
    </row>
    <row r="145" spans="1:2" x14ac:dyDescent="0.35">
      <c r="A145" t="s">
        <v>248</v>
      </c>
      <c r="B145" s="12">
        <v>0</v>
      </c>
    </row>
    <row r="146" spans="1:2" x14ac:dyDescent="0.35">
      <c r="A146" t="s">
        <v>249</v>
      </c>
      <c r="B146" s="12">
        <v>0</v>
      </c>
    </row>
    <row r="147" spans="1:2" x14ac:dyDescent="0.35">
      <c r="A147" t="s">
        <v>250</v>
      </c>
      <c r="B147" s="12">
        <v>0</v>
      </c>
    </row>
    <row r="148" spans="1:2" x14ac:dyDescent="0.35">
      <c r="A148" t="s">
        <v>251</v>
      </c>
      <c r="B148" s="12">
        <v>0</v>
      </c>
    </row>
    <row r="149" spans="1:2" x14ac:dyDescent="0.35">
      <c r="A149" t="s">
        <v>252</v>
      </c>
      <c r="B149" s="12">
        <v>0</v>
      </c>
    </row>
    <row r="150" spans="1:2" x14ac:dyDescent="0.35">
      <c r="A150" t="s">
        <v>253</v>
      </c>
      <c r="B150" s="12">
        <v>0</v>
      </c>
    </row>
    <row r="151" spans="1:2" x14ac:dyDescent="0.35">
      <c r="A151" t="s">
        <v>254</v>
      </c>
      <c r="B151" s="12">
        <v>0</v>
      </c>
    </row>
    <row r="152" spans="1:2" x14ac:dyDescent="0.35">
      <c r="A152" t="s">
        <v>255</v>
      </c>
      <c r="B152" s="12">
        <v>0</v>
      </c>
    </row>
    <row r="153" spans="1:2" x14ac:dyDescent="0.35">
      <c r="A153" t="s">
        <v>256</v>
      </c>
      <c r="B153" s="12">
        <v>0</v>
      </c>
    </row>
    <row r="154" spans="1:2" x14ac:dyDescent="0.35">
      <c r="A154" t="s">
        <v>257</v>
      </c>
      <c r="B154" s="12">
        <v>0</v>
      </c>
    </row>
    <row r="155" spans="1:2" x14ac:dyDescent="0.35">
      <c r="A155" t="s">
        <v>258</v>
      </c>
      <c r="B155" s="12">
        <v>0</v>
      </c>
    </row>
    <row r="156" spans="1:2" x14ac:dyDescent="0.35">
      <c r="A156" t="s">
        <v>259</v>
      </c>
      <c r="B156" s="12">
        <v>0</v>
      </c>
    </row>
    <row r="157" spans="1:2" x14ac:dyDescent="0.35">
      <c r="A157" t="s">
        <v>260</v>
      </c>
      <c r="B157" s="12">
        <v>0</v>
      </c>
    </row>
    <row r="158" spans="1:2" x14ac:dyDescent="0.35">
      <c r="A158" t="s">
        <v>261</v>
      </c>
      <c r="B158" s="12">
        <v>0</v>
      </c>
    </row>
    <row r="159" spans="1:2" x14ac:dyDescent="0.35">
      <c r="A159" t="s">
        <v>262</v>
      </c>
      <c r="B159" s="12">
        <v>0</v>
      </c>
    </row>
    <row r="160" spans="1:2" x14ac:dyDescent="0.35">
      <c r="A160" t="s">
        <v>263</v>
      </c>
      <c r="B160" s="12">
        <v>0</v>
      </c>
    </row>
    <row r="161" spans="1:2" x14ac:dyDescent="0.35">
      <c r="A161" t="s">
        <v>264</v>
      </c>
      <c r="B161" s="12">
        <v>0</v>
      </c>
    </row>
    <row r="162" spans="1:2" x14ac:dyDescent="0.35">
      <c r="A162" t="s">
        <v>265</v>
      </c>
      <c r="B162" s="12">
        <v>0</v>
      </c>
    </row>
    <row r="163" spans="1:2" x14ac:dyDescent="0.35">
      <c r="A163" t="s">
        <v>266</v>
      </c>
      <c r="B163" s="12">
        <v>0</v>
      </c>
    </row>
    <row r="164" spans="1:2" x14ac:dyDescent="0.35">
      <c r="A164" t="s">
        <v>267</v>
      </c>
      <c r="B164" s="12">
        <v>0</v>
      </c>
    </row>
    <row r="165" spans="1:2" x14ac:dyDescent="0.35">
      <c r="A165" t="s">
        <v>268</v>
      </c>
      <c r="B165" s="12">
        <v>0</v>
      </c>
    </row>
    <row r="166" spans="1:2" x14ac:dyDescent="0.35">
      <c r="A166" t="s">
        <v>269</v>
      </c>
      <c r="B166" s="12">
        <v>0</v>
      </c>
    </row>
    <row r="167" spans="1:2" x14ac:dyDescent="0.35">
      <c r="A167" t="s">
        <v>270</v>
      </c>
      <c r="B167" s="12">
        <v>0</v>
      </c>
    </row>
    <row r="168" spans="1:2" x14ac:dyDescent="0.35">
      <c r="A168" t="s">
        <v>271</v>
      </c>
      <c r="B168" s="12">
        <v>0</v>
      </c>
    </row>
    <row r="169" spans="1:2" x14ac:dyDescent="0.35">
      <c r="A169" t="s">
        <v>272</v>
      </c>
      <c r="B169" s="12">
        <v>0</v>
      </c>
    </row>
    <row r="170" spans="1:2" x14ac:dyDescent="0.35">
      <c r="A170" t="s">
        <v>273</v>
      </c>
      <c r="B170" s="12">
        <v>0</v>
      </c>
    </row>
    <row r="171" spans="1:2" x14ac:dyDescent="0.35">
      <c r="A171" t="s">
        <v>274</v>
      </c>
      <c r="B171" s="12">
        <v>0</v>
      </c>
    </row>
    <row r="172" spans="1:2" x14ac:dyDescent="0.35">
      <c r="A172" t="s">
        <v>275</v>
      </c>
      <c r="B172" s="12">
        <v>0</v>
      </c>
    </row>
    <row r="173" spans="1:2" x14ac:dyDescent="0.35">
      <c r="A173" t="s">
        <v>276</v>
      </c>
      <c r="B173" s="12">
        <v>0</v>
      </c>
    </row>
    <row r="174" spans="1:2" x14ac:dyDescent="0.35">
      <c r="A174" t="s">
        <v>277</v>
      </c>
      <c r="B174" s="12">
        <v>0</v>
      </c>
    </row>
    <row r="175" spans="1:2" x14ac:dyDescent="0.35">
      <c r="A175" t="s">
        <v>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3570BAC8831458E2A897BE68A8D52" ma:contentTypeVersion="15" ma:contentTypeDescription="Create a new document." ma:contentTypeScope="" ma:versionID="5a9ba5cc1777149509ed7cf6b8bd1c72">
  <xsd:schema xmlns:xsd="http://www.w3.org/2001/XMLSchema" xmlns:xs="http://www.w3.org/2001/XMLSchema" xmlns:p="http://schemas.microsoft.com/office/2006/metadata/properties" xmlns:ns1="http://schemas.microsoft.com/sharepoint/v3" xmlns:ns2="7107cdb6-0eb7-4c2c-b30c-489dbef75662" targetNamespace="http://schemas.microsoft.com/office/2006/metadata/properties" ma:root="true" ma:fieldsID="f99bede546b2b9580acefa980a905cf0" ns1:_="" ns2:_="">
    <xsd:import namespace="http://schemas.microsoft.com/sharepoint/v3"/>
    <xsd:import namespace="7107cdb6-0eb7-4c2c-b30c-489dbef756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7cdb6-0eb7-4c2c-b30c-489dbef756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107cdb6-0eb7-4c2c-b30c-489dbef7566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C225C6-9912-440A-9104-D4C484288B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4F3BAC-557B-4291-8E71-E3C93A1D4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07cdb6-0eb7-4c2c-b30c-489dbef756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19649F-34C9-42C6-929E-D023598117BA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7107cdb6-0eb7-4c2c-b30c-489dbef75662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Definitions</vt:lpstr>
      <vt:lpstr>Step 1 VD Relevance</vt:lpstr>
      <vt:lpstr>Step 2 competition</vt:lpstr>
      <vt:lpstr>Step 3 Value assessment</vt:lpstr>
      <vt:lpstr>Step 4 Results</vt:lpstr>
      <vt:lpstr>Calculations</vt:lpstr>
      <vt:lpstr>2024 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Brettraeger</dc:creator>
  <cp:keywords/>
  <dc:description/>
  <cp:lastModifiedBy>Nico Brettraeger</cp:lastModifiedBy>
  <cp:revision/>
  <dcterms:created xsi:type="dcterms:W3CDTF">2025-08-28T06:57:02Z</dcterms:created>
  <dcterms:modified xsi:type="dcterms:W3CDTF">2026-05-12T15:36:17Z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0x0101005F83570BAC8831458E2A897BE68A8D52</vt:lpwstr>
  </property>
  <property fmtid="{D5CDD505-2E9C-101B-9397-08002B2CF9AE}" pid="3" name="MediaServiceImageTags">
    <vt:lpwstr/>
  </property>
</Properties>
</file>