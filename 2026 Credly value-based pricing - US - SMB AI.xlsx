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600" firstSheet="2" activeTab="3" autoFilterDateGrouping="1"/>
  </bookViews>
  <sheets>
    <sheet xmlns:r="http://schemas.openxmlformats.org/officeDocument/2006/relationships" name="Definitions" sheetId="1" state="visible" r:id="rId1"/>
    <sheet xmlns:r="http://schemas.openxmlformats.org/officeDocument/2006/relationships" name="Step 1 VD Relevance" sheetId="2" state="visible" r:id="rId2"/>
    <sheet xmlns:r="http://schemas.openxmlformats.org/officeDocument/2006/relationships" name="Step 2 competition" sheetId="3" state="visible" r:id="rId3"/>
    <sheet xmlns:r="http://schemas.openxmlformats.org/officeDocument/2006/relationships" name="Step 3 Value assessment" sheetId="4" state="visible" r:id="rId4"/>
    <sheet xmlns:r="http://schemas.openxmlformats.org/officeDocument/2006/relationships" name="Step 4 Results" sheetId="5" state="visible" r:id="rId5"/>
    <sheet xmlns:r="http://schemas.openxmlformats.org/officeDocument/2006/relationships" name="Calculations" sheetId="6" state="visible" r:id="rId6"/>
    <sheet xmlns:r="http://schemas.openxmlformats.org/officeDocument/2006/relationships" name="2024 Revenue" sheetId="7" state="hidden" r:id="rId7"/>
  </sheets>
  <definedNames>
    <definedName name="_xlnm._FilterDatabase" localSheetId="5" hidden="1">'Calculations'!$H$57:$R$57</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19">
    <font>
      <name val="Aptos Narrow"/>
      <family val="2"/>
      <color theme="1"/>
      <sz val="11"/>
      <scheme val="minor"/>
    </font>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family val="2"/>
      <color theme="0"/>
      <sz val="11"/>
      <scheme val="minor"/>
    </font>
    <font>
      <name val="Aptos Narrow"/>
      <family val="2"/>
      <b val="1"/>
      <color theme="0"/>
      <sz val="22"/>
      <scheme val="minor"/>
    </font>
    <font>
      <name val="Aptos Narrow"/>
      <family val="2"/>
      <b val="1"/>
      <color theme="0"/>
      <sz val="12"/>
      <scheme val="minor"/>
    </font>
    <font>
      <name val="Aptos Narrow"/>
      <family val="2"/>
      <b val="1"/>
      <color rgb="FF0D004D"/>
      <sz val="11"/>
      <scheme val="minor"/>
    </font>
    <font>
      <name val="Aptos Narrow"/>
      <family val="2"/>
      <color rgb="FF0D004D"/>
      <sz val="11"/>
      <scheme val="minor"/>
    </font>
    <font>
      <name val="Aptos Narrow"/>
      <family val="2"/>
      <b val="1"/>
      <color theme="0"/>
      <sz val="14"/>
      <scheme val="minor"/>
    </font>
    <font>
      <name val="Aptos Narrow"/>
      <family val="2"/>
      <color rgb="FF000000"/>
      <sz val="10"/>
      <scheme val="minor"/>
    </font>
    <font>
      <name val="Aptos Narrow"/>
      <family val="2"/>
      <b val="1"/>
      <color rgb="FF000000"/>
      <sz val="10"/>
      <scheme val="minor"/>
    </font>
    <font>
      <name val="Aptos Narrow"/>
      <family val="2"/>
      <b val="1"/>
      <color theme="9"/>
      <sz val="14"/>
      <scheme val="minor"/>
    </font>
    <font>
      <name val="Aptos Narrow"/>
      <family val="2"/>
      <color theme="9"/>
      <sz val="11"/>
      <scheme val="minor"/>
    </font>
    <font>
      <name val="Aptos Narrow"/>
      <family val="2"/>
      <b val="1"/>
      <color theme="9"/>
      <sz val="11"/>
      <scheme val="minor"/>
    </font>
    <font>
      <name val="Aptos Narrow"/>
      <family val="2"/>
      <color theme="10"/>
      <sz val="11"/>
      <u val="single"/>
      <scheme val="minor"/>
    </font>
    <font>
      <name val="Aptos Narrow"/>
      <family val="2"/>
      <b val="1"/>
      <color theme="10"/>
      <sz val="11"/>
      <u val="single"/>
      <scheme val="minor"/>
    </font>
    <font>
      <name val="Aptos Narrow"/>
      <family val="2"/>
      <color theme="2" tint="-0.249977111117893"/>
      <sz val="11"/>
      <scheme val="minor"/>
    </font>
    <font>
      <name val="Aptos Narrow"/>
      <family val="2"/>
      <sz val="8"/>
      <scheme val="minor"/>
    </font>
  </fonts>
  <fills count="13">
    <fill>
      <patternFill/>
    </fill>
    <fill>
      <patternFill patternType="gray125"/>
    </fill>
    <fill>
      <patternFill patternType="solid">
        <fgColor theme="0"/>
        <bgColor indexed="64"/>
      </patternFill>
    </fill>
    <fill>
      <patternFill patternType="solid">
        <fgColor rgb="FF0D004D"/>
        <bgColor indexed="64"/>
      </patternFill>
    </fill>
    <fill>
      <patternFill patternType="solid">
        <fgColor rgb="FFA593FF"/>
        <bgColor indexed="64"/>
      </patternFill>
    </fill>
    <fill>
      <patternFill patternType="solid">
        <fgColor rgb="FFDBD4FF"/>
        <bgColor indexed="64"/>
      </patternFill>
    </fill>
    <fill>
      <patternFill patternType="solid">
        <fgColor theme="2"/>
        <bgColor indexed="64"/>
      </patternFill>
    </fill>
    <fill>
      <patternFill patternType="solid">
        <fgColor theme="9"/>
        <bgColor indexed="64"/>
      </patternFill>
    </fill>
    <fill>
      <patternFill patternType="solid">
        <fgColor rgb="FFFF9900"/>
        <bgColor indexed="64"/>
      </patternFill>
    </fill>
    <fill>
      <patternFill patternType="solid">
        <fgColor theme="3"/>
        <bgColor indexed="64"/>
      </patternFill>
    </fill>
    <fill>
      <patternFill patternType="solid">
        <fgColor theme="3" tint="0.09997863704336681"/>
        <bgColor indexed="64"/>
      </patternFill>
    </fill>
    <fill>
      <patternFill patternType="solid">
        <fgColor theme="5"/>
        <bgColor indexed="64"/>
      </patternFill>
    </fill>
    <fill>
      <patternFill patternType="solid">
        <fgColor rgb="FFFFFF00"/>
        <bgColor rgb="FFFFFF00"/>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style="thin">
        <color rgb="FF0D004D"/>
      </left>
      <right style="thin">
        <color rgb="FF0D004D"/>
      </right>
      <top style="thin">
        <color rgb="FF0D004D"/>
      </top>
      <bottom style="thin">
        <color rgb="FF0D004D"/>
      </bottom>
      <diagonal/>
    </border>
    <border>
      <left style="thin">
        <color rgb="FF0D004D"/>
      </left>
      <right/>
      <top style="thin">
        <color rgb="FF0D004D"/>
      </top>
      <bottom style="thin">
        <color rgb="FF0D004D"/>
      </bottom>
      <diagonal/>
    </border>
    <border>
      <left/>
      <right style="thin">
        <color rgb="FF0D004D"/>
      </right>
      <top style="thin">
        <color rgb="FF0D004D"/>
      </top>
      <bottom style="thin">
        <color rgb="FF0D004D"/>
      </bottom>
      <diagonal/>
    </border>
    <border>
      <left style="thin">
        <color rgb="FF0D004D"/>
      </left>
      <right/>
      <top style="thin">
        <color rgb="FF0D004D"/>
      </top>
      <bottom/>
      <diagonal/>
    </border>
    <border>
      <left/>
      <right style="thin">
        <color rgb="FF0D004D"/>
      </right>
      <top style="thin">
        <color rgb="FF0D004D"/>
      </top>
      <bottom/>
      <diagonal/>
    </border>
    <border>
      <left style="thin">
        <color rgb="FF0D004D"/>
      </left>
      <right/>
      <top/>
      <bottom style="thin">
        <color rgb="FF0D004D"/>
      </bottom>
      <diagonal/>
    </border>
    <border>
      <left/>
      <right style="thin">
        <color rgb="FF0D004D"/>
      </right>
      <top/>
      <bottom style="thin">
        <color rgb="FF0D004D"/>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indexed="64"/>
      </right>
      <top style="medium">
        <color theme="9"/>
      </top>
      <bottom style="medium">
        <color theme="9"/>
      </bottom>
      <diagonal/>
    </border>
    <border>
      <left/>
      <right style="medium">
        <color theme="9"/>
      </right>
      <top style="medium">
        <color theme="9"/>
      </top>
      <bottom style="medium">
        <color theme="9"/>
      </bottom>
      <diagonal/>
    </border>
    <border>
      <left style="medium">
        <color theme="3"/>
      </left>
      <right style="medium">
        <color theme="3"/>
      </right>
      <top style="medium">
        <color theme="3"/>
      </top>
      <bottom style="medium">
        <color theme="3"/>
      </bottom>
      <diagonal/>
    </border>
    <border>
      <left style="thin">
        <color theme="3"/>
      </left>
      <right style="thin">
        <color indexed="64"/>
      </right>
      <top style="thin">
        <color theme="3"/>
      </top>
      <bottom style="thin">
        <color indexed="64"/>
      </bottom>
      <diagonal/>
    </border>
    <border>
      <left/>
      <right style="thin">
        <color theme="3"/>
      </right>
      <top style="thin">
        <color theme="3"/>
      </top>
      <bottom style="thin">
        <color indexed="64"/>
      </bottom>
      <diagonal/>
    </border>
    <border>
      <left style="thin">
        <color theme="3"/>
      </left>
      <right style="thin">
        <color indexed="64"/>
      </right>
      <top style="thin">
        <color indexed="64"/>
      </top>
      <bottom style="thin">
        <color indexed="64"/>
      </bottom>
      <diagonal/>
    </border>
    <border>
      <left/>
      <right style="thin">
        <color theme="3"/>
      </right>
      <top style="thin">
        <color indexed="64"/>
      </top>
      <bottom style="thin">
        <color indexed="64"/>
      </bottom>
      <diagonal/>
    </border>
    <border>
      <left style="thin">
        <color theme="3"/>
      </left>
      <right style="thin">
        <color indexed="64"/>
      </right>
      <top style="thin">
        <color indexed="64"/>
      </top>
      <bottom style="thin">
        <color theme="3"/>
      </bottom>
      <diagonal/>
    </border>
    <border>
      <left/>
      <right style="thin">
        <color theme="3"/>
      </right>
      <top style="thin">
        <color indexed="64"/>
      </top>
      <bottom style="thin">
        <color theme="3"/>
      </bottom>
      <diagonal/>
    </border>
    <border>
      <left/>
      <right/>
      <top style="thin">
        <color indexed="64"/>
      </top>
      <bottom/>
      <diagonal/>
    </border>
  </borders>
  <cellStyleXfs count="3">
    <xf numFmtId="0" fontId="1" fillId="0" borderId="0"/>
    <xf numFmtId="9" fontId="1" fillId="0" borderId="0"/>
    <xf numFmtId="0" fontId="15" fillId="0" borderId="0"/>
  </cellStyleXfs>
  <cellXfs count="93">
    <xf numFmtId="0" fontId="0" fillId="0" borderId="0" pivotButton="0" quotePrefix="0" xfId="0"/>
    <xf numFmtId="0" fontId="0" fillId="2" borderId="0" pivotButton="0" quotePrefix="0" xfId="0"/>
    <xf numFmtId="0" fontId="5" fillId="2" borderId="0" applyAlignment="1" pivotButton="0" quotePrefix="0" xfId="0">
      <alignment vertical="center"/>
    </xf>
    <xf numFmtId="0" fontId="0" fillId="0" borderId="5" pivotButton="0" quotePrefix="0" xfId="0"/>
    <xf numFmtId="0" fontId="4" fillId="3" borderId="0" pivotButton="0" quotePrefix="0" xfId="0"/>
    <xf numFmtId="0" fontId="2" fillId="3" borderId="0" pivotButton="0" quotePrefix="0" xfId="0"/>
    <xf numFmtId="0" fontId="0" fillId="0" borderId="7" pivotButton="0" quotePrefix="0" xfId="0"/>
    <xf numFmtId="0" fontId="2" fillId="3" borderId="6" pivotButton="0" quotePrefix="0" xfId="0"/>
    <xf numFmtId="0" fontId="8" fillId="4" borderId="0" pivotButton="0" quotePrefix="0" xfId="0"/>
    <xf numFmtId="0" fontId="7" fillId="4" borderId="0" pivotButton="0" quotePrefix="0" xfId="0"/>
    <xf numFmtId="0" fontId="0" fillId="4" borderId="0" pivotButton="0" quotePrefix="0" xfId="0"/>
    <xf numFmtId="9" fontId="0" fillId="0" borderId="0" pivotButton="0" quotePrefix="0" xfId="1"/>
    <xf numFmtId="4" fontId="0" fillId="0" borderId="0" pivotButton="0" quotePrefix="0" xfId="0"/>
    <xf numFmtId="0" fontId="3" fillId="0" borderId="0" pivotButton="0" quotePrefix="0" xfId="0"/>
    <xf numFmtId="0" fontId="3" fillId="0" borderId="5" pivotButton="0" quotePrefix="0" xfId="0"/>
    <xf numFmtId="164" fontId="0" fillId="0" borderId="5" pivotButton="0" quotePrefix="0" xfId="1"/>
    <xf numFmtId="164" fontId="3" fillId="0" borderId="5" pivotButton="0" quotePrefix="0" xfId="0"/>
    <xf numFmtId="4" fontId="3" fillId="0" borderId="5" pivotButton="0" quotePrefix="0" xfId="0"/>
    <xf numFmtId="164" fontId="3" fillId="0" borderId="7" pivotButton="0" quotePrefix="0" xfId="0"/>
    <xf numFmtId="4" fontId="3" fillId="0" borderId="7" pivotButton="0" quotePrefix="0" xfId="0"/>
    <xf numFmtId="0" fontId="0" fillId="0" borderId="9" pivotButton="0" quotePrefix="0" xfId="0"/>
    <xf numFmtId="164" fontId="0" fillId="0" borderId="9" pivotButton="0" quotePrefix="0" xfId="1"/>
    <xf numFmtId="2" fontId="0" fillId="0" borderId="0" pivotButton="0" quotePrefix="0" xfId="0"/>
    <xf numFmtId="4" fontId="0" fillId="0" borderId="5" pivotButton="0" quotePrefix="0" xfId="0"/>
    <xf numFmtId="165" fontId="0" fillId="0" borderId="5" pivotButton="0" quotePrefix="0" xfId="0"/>
    <xf numFmtId="2" fontId="0" fillId="0" borderId="5" pivotButton="0" quotePrefix="0" xfId="0"/>
    <xf numFmtId="0" fontId="7" fillId="0" borderId="5" pivotButton="0" quotePrefix="0" xfId="0"/>
    <xf numFmtId="0" fontId="7" fillId="4" borderId="11" pivotButton="0" quotePrefix="0" xfId="0"/>
    <xf numFmtId="0" fontId="7" fillId="4" borderId="12" pivotButton="0" quotePrefix="0" xfId="0"/>
    <xf numFmtId="0" fontId="7" fillId="4" borderId="13" pivotButton="0" quotePrefix="0" xfId="0"/>
    <xf numFmtId="0" fontId="8" fillId="4" borderId="14" pivotButton="0" quotePrefix="0" xfId="0"/>
    <xf numFmtId="0" fontId="7" fillId="4" borderId="15" pivotButton="0" quotePrefix="0" xfId="0"/>
    <xf numFmtId="0" fontId="8" fillId="4" borderId="16" pivotButton="0" quotePrefix="0" xfId="0"/>
    <xf numFmtId="0" fontId="0" fillId="0" borderId="10" applyAlignment="1" pivotButton="0" quotePrefix="0" xfId="0">
      <alignment horizontal="right"/>
    </xf>
    <xf numFmtId="0" fontId="10" fillId="5" borderId="4" applyAlignment="1" pivotButton="0" quotePrefix="0" xfId="0">
      <alignment horizontal="left" vertical="center" wrapText="1" readingOrder="1"/>
    </xf>
    <xf numFmtId="0" fontId="4" fillId="0" borderId="0" pivotButton="0" quotePrefix="0" xfId="0"/>
    <xf numFmtId="0" fontId="12" fillId="6" borderId="17" pivotButton="0" quotePrefix="0" xfId="0"/>
    <xf numFmtId="0" fontId="12" fillId="6" borderId="18" pivotButton="0" quotePrefix="0" xfId="0"/>
    <xf numFmtId="0" fontId="13" fillId="6" borderId="19" pivotButton="0" quotePrefix="0" xfId="0"/>
    <xf numFmtId="0" fontId="9" fillId="7" borderId="18" applyAlignment="1" pivotButton="0" quotePrefix="0" xfId="0">
      <alignment horizontal="right"/>
    </xf>
    <xf numFmtId="0" fontId="9" fillId="7" borderId="20" applyAlignment="1" pivotButton="0" quotePrefix="0" xfId="0">
      <alignment horizontal="right"/>
    </xf>
    <xf numFmtId="0" fontId="2" fillId="3" borderId="21" pivotButton="0" quotePrefix="0" xfId="0"/>
    <xf numFmtId="0" fontId="14" fillId="2" borderId="21" applyAlignment="1" pivotButton="0" quotePrefix="0" xfId="0">
      <alignment horizontal="right"/>
    </xf>
    <xf numFmtId="3" fontId="14" fillId="2" borderId="21" applyAlignment="1" pivotButton="0" quotePrefix="0" xfId="0">
      <alignment horizontal="right"/>
    </xf>
    <xf numFmtId="9" fontId="14" fillId="2" borderId="21" applyAlignment="1" pivotButton="0" quotePrefix="0" xfId="0">
      <alignment horizontal="right"/>
    </xf>
    <xf numFmtId="0" fontId="2" fillId="10" borderId="3" applyAlignment="1" pivotButton="0" quotePrefix="0" xfId="0">
      <alignment horizontal="left"/>
    </xf>
    <xf numFmtId="0" fontId="4" fillId="10" borderId="3" applyAlignment="1" pivotButton="0" quotePrefix="0" xfId="0">
      <alignment horizontal="left" vertical="center"/>
    </xf>
    <xf numFmtId="49" fontId="2" fillId="10" borderId="4" applyAlignment="1" pivotButton="0" quotePrefix="0" xfId="0">
      <alignment vertical="center"/>
    </xf>
    <xf numFmtId="0" fontId="10" fillId="0" borderId="23" applyAlignment="1" pivotButton="0" quotePrefix="0" xfId="0">
      <alignment horizontal="left" vertical="center" wrapText="1" indent="1" readingOrder="1"/>
    </xf>
    <xf numFmtId="0" fontId="10" fillId="0" borderId="25" applyAlignment="1" pivotButton="0" quotePrefix="0" xfId="0">
      <alignment horizontal="left" vertical="center" wrapText="1" indent="1" readingOrder="1"/>
    </xf>
    <xf numFmtId="0" fontId="10" fillId="0" borderId="27" applyAlignment="1" pivotButton="0" quotePrefix="0" xfId="0">
      <alignment horizontal="left" vertical="center" wrapText="1" indent="1" readingOrder="1"/>
    </xf>
    <xf numFmtId="0" fontId="11" fillId="5" borderId="22" applyAlignment="1" pivotButton="0" quotePrefix="0" xfId="0">
      <alignment horizontal="left" vertical="center" wrapText="1" indent="1" readingOrder="1"/>
    </xf>
    <xf numFmtId="0" fontId="11" fillId="5" borderId="24" applyAlignment="1" pivotButton="0" quotePrefix="0" xfId="0">
      <alignment horizontal="left" vertical="center" wrapText="1" indent="1" readingOrder="1"/>
    </xf>
    <xf numFmtId="0" fontId="11" fillId="5" borderId="26" applyAlignment="1" pivotButton="0" quotePrefix="0" xfId="0">
      <alignment horizontal="left" vertical="center" wrapText="1" indent="1" readingOrder="1"/>
    </xf>
    <xf numFmtId="0" fontId="2" fillId="11" borderId="1" applyAlignment="1" pivotButton="0" quotePrefix="0" xfId="0">
      <alignment horizontal="left" vertical="center" indent="1"/>
    </xf>
    <xf numFmtId="165" fontId="0" fillId="0" borderId="0" pivotButton="0" quotePrefix="0" xfId="0"/>
    <xf numFmtId="9" fontId="0" fillId="0" borderId="0" pivotButton="0" quotePrefix="0" xfId="0"/>
    <xf numFmtId="2" fontId="0" fillId="0" borderId="5" pivotButton="0" quotePrefix="0" xfId="1"/>
    <xf numFmtId="4" fontId="17" fillId="0" borderId="0" pivotButton="0" quotePrefix="0" xfId="0"/>
    <xf numFmtId="1" fontId="0" fillId="0" borderId="5" pivotButton="0" quotePrefix="0" xfId="0"/>
    <xf numFmtId="1" fontId="0" fillId="0" borderId="0" pivotButton="0" quotePrefix="0" xfId="0"/>
    <xf numFmtId="3" fontId="0" fillId="0" borderId="0" pivotButton="0" quotePrefix="0" xfId="0"/>
    <xf numFmtId="0" fontId="5" fillId="3" borderId="0" applyAlignment="1" pivotButton="0" quotePrefix="0" xfId="0">
      <alignment horizontal="center" vertical="center"/>
    </xf>
    <xf numFmtId="0" fontId="6" fillId="3" borderId="1" applyAlignment="1" pivotButton="0" quotePrefix="0" xfId="0">
      <alignment horizontal="center"/>
    </xf>
    <xf numFmtId="0" fontId="6" fillId="3" borderId="2" applyAlignment="1" pivotButton="0" quotePrefix="0" xfId="0">
      <alignment horizontal="center"/>
    </xf>
    <xf numFmtId="0" fontId="2" fillId="8" borderId="0" applyAlignment="1" pivotButton="0" quotePrefix="0" xfId="0">
      <alignment horizontal="center"/>
    </xf>
    <xf numFmtId="0" fontId="16" fillId="2" borderId="0" applyAlignment="1" pivotButton="0" quotePrefix="0" xfId="2">
      <alignment horizontal="center"/>
    </xf>
    <xf numFmtId="0" fontId="9" fillId="9" borderId="0" applyAlignment="1" pivotButton="0" quotePrefix="0" xfId="0">
      <alignment horizontal="center" vertical="center"/>
    </xf>
    <xf numFmtId="0" fontId="7" fillId="4" borderId="0" applyAlignment="1" pivotButton="0" quotePrefix="0" xfId="0">
      <alignment horizontal="left"/>
    </xf>
    <xf numFmtId="0" fontId="6" fillId="9" borderId="0" applyAlignment="1" pivotButton="0" quotePrefix="0" xfId="0">
      <alignment horizontal="center" vertical="center"/>
    </xf>
    <xf numFmtId="0" fontId="0" fillId="0" borderId="5" pivotButton="0" quotePrefix="0" xfId="0"/>
    <xf numFmtId="0" fontId="0" fillId="0" borderId="5" pivotButton="0" quotePrefix="0" xfId="0"/>
    <xf numFmtId="0" fontId="0" fillId="0" borderId="5" pivotButton="0" quotePrefix="0" xfId="0"/>
    <xf numFmtId="0" fontId="0" fillId="0" borderId="5" pivotButton="0" quotePrefix="0" xfId="0"/>
    <xf numFmtId="0" fontId="0" fillId="0" borderId="5" pivotButton="0" quotePrefix="0" xfId="0"/>
    <xf numFmtId="0" fontId="0" fillId="0" borderId="5" pivotButton="0" quotePrefix="0" xfId="0"/>
    <xf numFmtId="0" fontId="0" fillId="0" borderId="8" pivotButton="0" quotePrefix="0" xfId="0"/>
    <xf numFmtId="165" fontId="0" fillId="0" borderId="5" pivotButton="0" quotePrefix="0" xfId="0"/>
    <xf numFmtId="165" fontId="0" fillId="0" borderId="8" pivotButton="0" quotePrefix="0" xfId="0"/>
    <xf numFmtId="0" fontId="6" fillId="3" borderId="6" applyAlignment="1" pivotButton="0" quotePrefix="0" xfId="0">
      <alignment horizontal="center"/>
    </xf>
    <xf numFmtId="0" fontId="0" fillId="0" borderId="2" pivotButton="0" quotePrefix="0" xfId="0"/>
    <xf numFmtId="0" fontId="0" fillId="12" borderId="0" pivotButton="0" quotePrefix="0" xfId="0"/>
    <xf numFmtId="0" fontId="4" fillId="12" borderId="0" pivotButton="0" quotePrefix="0" xfId="0"/>
    <xf numFmtId="165" fontId="0" fillId="12" borderId="5" pivotButton="0" quotePrefix="0" xfId="0"/>
    <xf numFmtId="1" fontId="0" fillId="12" borderId="5" pivotButton="0" quotePrefix="0" xfId="0"/>
    <xf numFmtId="0" fontId="3" fillId="12" borderId="5" pivotButton="0" quotePrefix="0" xfId="0"/>
    <xf numFmtId="0" fontId="0" fillId="12" borderId="5" pivotButton="0" quotePrefix="0" xfId="0"/>
    <xf numFmtId="0" fontId="0" fillId="12" borderId="9" pivotButton="0" quotePrefix="0" xfId="0"/>
    <xf numFmtId="4" fontId="3" fillId="12" borderId="7" pivotButton="0" quotePrefix="0" xfId="0"/>
    <xf numFmtId="4" fontId="3" fillId="12" borderId="5" pivotButton="0" quotePrefix="0" xfId="0"/>
    <xf numFmtId="1" fontId="0" fillId="12" borderId="0" pivotButton="0" quotePrefix="0" xfId="0"/>
    <xf numFmtId="3" fontId="0" fillId="12" borderId="0" pivotButton="0" quotePrefix="0" xfId="0"/>
    <xf numFmtId="2" fontId="0" fillId="12" borderId="0" pivotButton="0" quotePrefix="0" xfId="0"/>
  </cellXfs>
  <cellStyles count="3">
    <cellStyle name="Normal" xfId="0" builtinId="0"/>
    <cellStyle name="Percent" xfId="1" builtinId="5"/>
    <cellStyle name="Hyperlink" xfId="2" builtinId="8"/>
  </cellStyles>
  <dxfs count="30">
    <dxf>
      <fill>
        <patternFill>
          <bgColor rgb="FFDBD4FF"/>
        </patternFill>
      </fill>
    </dxf>
    <dxf>
      <fill>
        <patternFill>
          <bgColor rgb="FFDBD4FF"/>
        </patternFill>
      </fill>
    </dxf>
    <dxf>
      <font>
        <color theme="0"/>
      </font>
      <fill>
        <patternFill>
          <bgColor theme="0"/>
        </patternFill>
      </fill>
      <border>
        <left/>
        <right/>
        <top/>
        <bottom/>
        <vertical/>
        <horizontal/>
      </border>
    </dxf>
    <dxf>
      <fill>
        <patternFill>
          <bgColor rgb="FFDBD4FF"/>
        </patternFill>
      </fill>
    </dxf>
    <dxf>
      <fill>
        <patternFill>
          <bgColor rgb="FFDBD4FF"/>
        </patternFill>
      </fill>
    </dxf>
    <dxf>
      <fill>
        <patternFill>
          <bgColor rgb="FFDBD4FF"/>
        </patternFill>
      </fill>
    </dxf>
    <dxf>
      <fill>
        <patternFill>
          <bgColor rgb="FFDBD4FF"/>
        </patternFill>
      </fill>
    </dxf>
    <dxf>
      <fill>
        <patternFill>
          <bgColor rgb="FFDBD4FF"/>
        </patternFill>
      </fill>
    </dxf>
    <dxf>
      <fill>
        <patternFill>
          <bgColor rgb="FFDBD4FF"/>
        </patternFill>
      </fill>
      <border>
        <left style="thin">
          <color auto="1"/>
        </left>
        <right style="thin">
          <color auto="1"/>
        </right>
        <top style="thin">
          <color auto="1"/>
        </top>
        <bottom style="thin">
          <color auto="1"/>
        </bottom>
        <vertical/>
        <horizontal/>
      </border>
    </dxf>
    <dxf>
      <fill>
        <patternFill>
          <bgColor rgb="FFDBD4FF"/>
        </patternFill>
      </fill>
      <border>
        <left style="thin">
          <color auto="1"/>
        </left>
        <right style="thin">
          <color auto="1"/>
        </right>
        <top style="thin">
          <color auto="1"/>
        </top>
        <bottom style="thin">
          <color auto="1"/>
        </bottom>
        <vertical/>
        <horizontal/>
      </border>
    </dxf>
    <dxf>
      <fill>
        <patternFill>
          <bgColor theme="0"/>
        </patternFill>
      </fill>
      <border>
        <left/>
        <right/>
        <top/>
        <bottom/>
        <vertical/>
        <horizontal/>
      </border>
    </dxf>
    <dxf>
      <fill>
        <patternFill>
          <bgColor rgb="FFDBD4FF"/>
        </patternFill>
      </fill>
      <border>
        <left style="thin">
          <color auto="1"/>
        </left>
        <right style="thin">
          <color auto="1"/>
        </right>
        <top style="thin">
          <color auto="1"/>
        </top>
        <bottom style="thin">
          <color auto="1"/>
        </bottom>
        <vertical/>
        <horizontal/>
      </border>
    </dxf>
    <dxf>
      <fill>
        <patternFill>
          <bgColor rgb="FFDBD4FF"/>
        </patternFill>
      </fill>
    </dxf>
    <dxf>
      <font>
        <color theme="0" tint="-0.0499893185216834"/>
      </font>
      <fill>
        <patternFill>
          <bgColor rgb="FF00B050"/>
        </patternFill>
      </fill>
    </dxf>
    <dxf>
      <fill>
        <patternFill>
          <bgColor theme="0"/>
        </patternFill>
      </fill>
    </dxf>
    <dxf>
      <font>
        <color theme="0" tint="-0.0499893185216834"/>
      </font>
      <fill>
        <patternFill>
          <bgColor rgb="FF00B050"/>
        </patternFill>
      </fill>
    </dxf>
    <dxf>
      <fill>
        <patternFill>
          <bgColor theme="0"/>
        </patternFill>
      </fill>
    </dxf>
    <dxf>
      <font>
        <color theme="0"/>
      </font>
      <fill>
        <patternFill>
          <bgColor rgb="FF00B05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00B05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i val="1"/>
        <color rgb="FF4B26FF"/>
      </font>
      <border>
        <left style="thin">
          <color auto="1"/>
        </left>
        <right style="thin">
          <color auto="1"/>
        </right>
        <top style="thin">
          <color auto="1"/>
        </top>
        <bottom style="thin">
          <color auto="1"/>
        </bottom>
        <vertical/>
        <horizontal/>
      </border>
    </dxf>
    <dxf>
      <fill>
        <patternFill>
          <bgColor rgb="FFDBD4FF"/>
        </patternFill>
      </fill>
    </dxf>
    <dxf>
      <fill>
        <patternFill>
          <bgColor rgb="FFDBD4FF"/>
        </patternFill>
      </fill>
    </dxf>
    <dxf>
      <font>
        <color theme="0"/>
      </font>
      <fill>
        <patternFill>
          <bgColor rgb="FF00B050"/>
        </patternFill>
      </fill>
    </dxf>
    <dxf>
      <fill>
        <patternFill>
          <bgColor theme="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2"/>
                </a:solidFill>
                <a:latin typeface="+mn-lt"/>
                <a:ea typeface="+mn-ea"/>
                <a:cs typeface="+mn-cs"/>
              </a:defRPr>
            </a:pPr>
            <a:r>
              <a:rPr lang="en-US" b="1">
                <a:solidFill>
                  <a:schemeClr val="tx2"/>
                </a:solidFill>
              </a:rPr>
              <a:t>Market Positoning</a:t>
            </a:r>
            <a:endParaRPr lang="en-DE" b="1">
              <a:solidFill>
                <a:schemeClr val="tx2"/>
              </a:solidFill>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2"/>
              </a:solidFill>
              <a:latin typeface="+mn-lt"/>
              <a:ea typeface="+mn-ea"/>
              <a:cs typeface="+mn-cs"/>
            </a:defRPr>
          </a:pPr>
          <a:r>
            <a:t/>
          </a:r>
          <a:endParaRPr lang="en-DE"/>
        </a:p>
      </txPr>
    </title>
    <plotArea>
      <layout/>
      <scatterChart>
        <scatterStyle val="lineMarker"/>
        <varyColors val="0"/>
        <ser>
          <idx val="0"/>
          <order val="0"/>
          <tx>
            <v>Competitors</v>
          </tx>
          <spPr>
            <a:ln xmlns:a="http://schemas.openxmlformats.org/drawingml/2006/main" w="25400" cap="rnd">
              <a:noFill/>
              <a:prstDash val="solid"/>
              <a:round/>
            </a:ln>
          </spPr>
          <marker>
            <symbol val="circle"/>
            <size val="10"/>
            <spPr>
              <a:solidFill xmlns:a="http://schemas.openxmlformats.org/drawingml/2006/main">
                <a:schemeClr val="accent2"/>
              </a:solidFill>
              <a:ln xmlns:a="http://schemas.openxmlformats.org/drawingml/2006/main" w="9525">
                <a:solidFill>
                  <a:schemeClr val="tx2"/>
                </a:solidFill>
                <a:prstDash val="solid"/>
              </a:ln>
            </spPr>
          </marker>
          <dLbls>
            <dLbl>
              <idx val="0"/>
              <dLblPos val="t"/>
              <showLegendKey val="0"/>
              <showVal val="0"/>
              <showCatName val="0"/>
              <showSerName val="0"/>
              <showPercent val="0"/>
              <showBubbleSize val="0"/>
            </dLbl>
            <dLbl>
              <idx val="1"/>
              <dLblPos val="t"/>
              <showLegendKey val="0"/>
              <showVal val="0"/>
              <showCatName val="0"/>
              <showSerName val="0"/>
              <showPercent val="0"/>
              <showBubbleSize val="0"/>
            </dLbl>
            <dLbl>
              <idx val="2"/>
              <dLblPos val="t"/>
              <showLegendKey val="0"/>
              <showVal val="0"/>
              <showCatName val="0"/>
              <showSerName val="0"/>
              <showPercent val="0"/>
              <showBubbleSize val="0"/>
            </dLbl>
            <dLbl>
              <idx val="3"/>
              <dLblPos val="t"/>
              <showLegendKey val="0"/>
              <showVal val="0"/>
              <showCatName val="0"/>
              <showSerName val="0"/>
              <showPercent val="0"/>
              <showBubbleSize val="0"/>
            </dLbl>
            <dLbl>
              <idx val="4"/>
              <dLblPos val="t"/>
              <showLegendKey val="0"/>
              <showVal val="0"/>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DE"/>
              </a:p>
            </txPr>
            <dLblPos val="t"/>
            <showLegendKey val="0"/>
            <showVal val="0"/>
            <showCatName val="0"/>
            <showSerName val="0"/>
            <showPercent val="0"/>
            <showBubbleSize val="0"/>
            <showLeaderLines val="0"/>
          </dLbls>
          <xVal>
            <numRef>
              <f>Calculations!$E$22:$I$22</f>
              <numCache>
                <formatCode>#,##0.00</formatCode>
                <ptCount val="5"/>
                <pt idx="0">
                  <v>0.1016666666666667</v>
                </pt>
                <pt idx="1">
                  <v>0.22</v>
                </pt>
                <pt idx="2">
                  <v>-0.33</v>
                </pt>
                <pt idx="3">
                  <v>0.08500000000000002</v>
                </pt>
                <pt idx="4">
                  <v>0</v>
                </pt>
              </numCache>
            </numRef>
          </xVal>
          <yVal>
            <numRef>
              <f>Calculations!$E$27:$I$27</f>
              <numCache>
                <formatCode>General</formatCode>
                <ptCount val="5"/>
                <pt idx="0">
                  <v>0</v>
                </pt>
                <pt idx="1">
                  <v>0</v>
                </pt>
                <pt idx="2">
                  <v>0</v>
                </pt>
                <pt idx="3">
                  <v>0</v>
                </pt>
                <pt idx="4">
                  <v>0</v>
                </pt>
              </numCache>
            </numRef>
          </yVal>
          <smooth val="0"/>
        </ser>
        <ser>
          <idx val="1"/>
          <order val="1"/>
          <tx>
            <v>MIN MAX</v>
          </tx>
          <spPr>
            <a:ln xmlns:a="http://schemas.openxmlformats.org/drawingml/2006/main" w="25400" cap="rnd">
              <a:noFill/>
              <a:prstDash val="solid"/>
              <a:round/>
            </a:ln>
          </spPr>
          <marker>
            <symbol val="none"/>
            <spPr>
              <a:ln xmlns:a="http://schemas.openxmlformats.org/drawingml/2006/main">
                <a:prstDash val="solid"/>
              </a:ln>
            </spPr>
          </marker>
          <dLbls>
            <delete val="1"/>
          </dLbls>
          <xVal>
            <numRef>
              <f>Calculations!$K$22:$L$22</f>
              <numCache>
                <formatCode>General</formatCode>
                <ptCount val="2"/>
                <pt idx="0">
                  <v>-2</v>
                </pt>
                <pt idx="1">
                  <v>2</v>
                </pt>
              </numCache>
            </numRef>
          </xVal>
          <yVal>
            <numRef>
              <f>Calculations!$K$27:$L$27</f>
              <numCache>
                <formatCode>General</formatCode>
                <ptCount val="2"/>
                <pt idx="0">
                  <v>-10</v>
                </pt>
                <pt idx="1">
                  <v>10</v>
                </pt>
              </numCache>
            </numRef>
          </yVal>
          <smooth val="0"/>
        </ser>
        <ser>
          <idx val="2"/>
          <order val="2"/>
          <tx>
            <v>Recommended Range</v>
          </tx>
          <spPr>
            <a:ln xmlns:a="http://schemas.openxmlformats.org/drawingml/2006/main" w="25400" cap="rnd">
              <a:solidFill>
                <a:srgbClr val="FF0000"/>
              </a:solidFill>
              <a:prstDash val="sysDot"/>
              <a:round/>
            </a:ln>
          </spPr>
          <marker>
            <symbol val="dash"/>
            <size val="10"/>
            <spPr>
              <a:solidFill xmlns:a="http://schemas.openxmlformats.org/drawingml/2006/main">
                <a:srgbClr val="FF0000"/>
              </a:solidFill>
              <a:ln xmlns:a="http://schemas.openxmlformats.org/drawingml/2006/main" w="9525">
                <a:noFill/>
                <a:prstDash val="solid"/>
              </a:ln>
            </spPr>
          </marker>
          <dLbls>
            <delete val="1"/>
          </dLbls>
          <trendline>
            <spPr>
              <a:ln xmlns:a="http://schemas.openxmlformats.org/drawingml/2006/main" w="19050" cap="rnd">
                <a:solidFill>
                  <a:schemeClr val="accent3"/>
                </a:solidFill>
                <a:prstDash val="sysDot"/>
              </a:ln>
            </spPr>
            <trendlineType val="linear"/>
            <dispRSqr val="0"/>
            <dispEq val="0"/>
          </trendline>
          <xVal>
            <numRef>
              <f>Calculations!$D$49:$E$49</f>
              <numCache>
                <formatCode>#,##0.00</formatCode>
                <ptCount val="2"/>
                <pt idx="0">
                  <v>1.03</v>
                </pt>
                <pt idx="1">
                  <v>1.03</v>
                </pt>
              </numCache>
            </numRef>
          </xVal>
          <yVal>
            <numRef>
              <f>Calculations!$D$48:$E$48</f>
              <numCache>
                <formatCode>0.00</formatCode>
                <ptCount val="2"/>
                <pt idx="0">
                  <v>#N/A</v>
                </pt>
                <pt idx="1">
                  <v>#N/A</v>
                </pt>
              </numCache>
            </numRef>
          </yVal>
          <smooth val="0"/>
        </ser>
        <ser>
          <idx val="3"/>
          <order val="3"/>
          <tx>
            <v>Current price</v>
          </tx>
          <spPr>
            <a:ln xmlns:a="http://schemas.openxmlformats.org/drawingml/2006/main" w="25400" cap="rnd">
              <a:noFill/>
              <a:prstDash val="solid"/>
              <a:round/>
            </a:ln>
          </spPr>
          <marker>
            <symbol val="circle"/>
            <size val="10"/>
            <spPr>
              <a:solidFill xmlns:a="http://schemas.openxmlformats.org/drawingml/2006/main">
                <a:schemeClr val="tx2">
                  <a:lumMod val="10000"/>
                  <a:lumOff val="90000"/>
                </a:schemeClr>
              </a:solidFill>
              <a:ln xmlns:a="http://schemas.openxmlformats.org/drawingml/2006/main" w="9525">
                <a:solidFill>
                  <a:schemeClr val="tx2"/>
                </a:solidFill>
                <a:prstDash val="solid"/>
              </a:ln>
            </spPr>
          </marker>
          <dLbls>
            <dLbl>
              <idx val="0"/>
              <dLblPos val="b"/>
              <showLegendKey val="0"/>
              <showVal val="0"/>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
                </a:r>
                <a:endParaRPr lang="en-DE"/>
              </a:p>
            </txPr>
            <dLblPos val="b"/>
            <showLegendKey val="0"/>
            <showVal val="0"/>
            <showCatName val="0"/>
            <showSerName val="0"/>
            <showPercent val="0"/>
            <showBubbleSize val="0"/>
            <showLeaderLines val="0"/>
          </dLbls>
          <xVal>
            <numRef>
              <f>Calculations!$D$22</f>
              <numCache>
                <formatCode>#,##0.00</formatCode>
                <ptCount val="1"/>
                <pt idx="0">
                  <v>1.03</v>
                </pt>
              </numCache>
            </numRef>
          </xVal>
          <yVal>
            <numRef>
              <f>Calculations!$D$27</f>
              <numCache>
                <formatCode>General</formatCode>
                <ptCount val="1"/>
                <pt idx="0">
                  <v>0</v>
                </pt>
              </numCache>
            </numRef>
          </yVal>
          <smooth val="0"/>
        </ser>
        <ser>
          <idx val="4"/>
          <order val="4"/>
          <tx>
            <v>Value Line</v>
          </tx>
          <spPr>
            <a:ln xmlns:a="http://schemas.openxmlformats.org/drawingml/2006/main" w="25400" cap="rnd">
              <a:noFill/>
              <a:prstDash val="solid"/>
              <a:round/>
            </a:ln>
          </spPr>
          <marker>
            <symbol val="none"/>
            <spPr>
              <a:ln xmlns:a="http://schemas.openxmlformats.org/drawingml/2006/main">
                <a:prstDash val="solid"/>
              </a:ln>
            </spPr>
          </marker>
          <dLbls>
            <delete val="1"/>
          </dLbls>
          <trendline>
            <spPr>
              <a:ln xmlns:a="http://schemas.openxmlformats.org/drawingml/2006/main" w="19050" cap="rnd">
                <a:solidFill>
                  <a:schemeClr val="tx1">
                    <a:lumMod val="50000"/>
                    <a:lumOff val="50000"/>
                  </a:schemeClr>
                </a:solidFill>
                <a:prstDash val="sysDot"/>
              </a:ln>
            </spPr>
            <trendlineType val="linear"/>
            <forward val="2"/>
            <backward val="2"/>
            <dispRSqr val="0"/>
            <dispEq val="0"/>
          </trendline>
          <xVal>
            <numRef>
              <f>Calculations!$F$43:$G$43</f>
              <numCache>
                <formatCode>0.00</formatCode>
                <ptCount val="2"/>
                <pt idx="0">
                  <formatCode>General</formatCode>
                  <v>-2</v>
                </pt>
                <pt idx="1">
                  <v>0</v>
                </pt>
              </numCache>
            </numRef>
          </xVal>
          <yVal>
            <numRef>
              <f>Calculations!$F$42:$G$42</f>
              <numCache>
                <formatCode>0.00</formatCode>
                <ptCount val="2"/>
                <pt idx="0">
                  <formatCode>General</formatCode>
                  <v>0</v>
                </pt>
                <pt idx="1">
                  <v>0</v>
                </pt>
              </numCache>
            </numRef>
          </yVal>
          <smooth val="0"/>
        </ser>
        <dLbls>
          <dLblPos val="t"/>
          <showLegendKey val="0"/>
          <showVal val="1"/>
          <showCatName val="0"/>
          <showSerName val="0"/>
          <showPercent val="0"/>
          <showBubbleSize val="0"/>
        </dLbls>
        <axId val="1992814800"/>
        <axId val="1992815280"/>
      </scatterChart>
      <valAx>
        <axId val="1992814800"/>
        <scaling>
          <orientation val="minMax"/>
          <max val="2.3"/>
          <min val="-2.3"/>
        </scaling>
        <delete val="1"/>
        <axPos val="b"/>
        <majorGridlines>
          <spPr>
            <a:ln xmlns:a="http://schemas.openxmlformats.org/drawingml/2006/main" w="9525" cap="flat" cmpd="sng" algn="ctr">
              <a:solidFill>
                <a:schemeClr val="tx1">
                  <a:lumMod val="15000"/>
                  <a:lumOff val="85000"/>
                </a:schemeClr>
              </a:solidFill>
              <a:prstDash val="solid"/>
              <a:round/>
            </a:ln>
          </spPr>
        </majorGridlines>
        <numFmt formatCode="#,##0.00" sourceLinked="1"/>
        <majorTickMark val="none"/>
        <minorTickMark val="none"/>
        <tickLblPos val="nextTo"/>
        <crossAx val="1992815280"/>
        <crossesAt val="100"/>
        <crossBetween val="midCat"/>
        <majorUnit val="10"/>
      </valAx>
      <valAx>
        <axId val="1992815280"/>
        <scaling>
          <orientation val="minMax"/>
          <max val="300"/>
          <min val="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2"/>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100" b="0" i="0" strike="noStrike" kern="1200" baseline="0">
                <a:solidFill>
                  <a:schemeClr val="tx1">
                    <a:lumMod val="65000"/>
                    <a:lumOff val="35000"/>
                  </a:schemeClr>
                </a:solidFill>
                <a:latin typeface="+mn-lt"/>
                <a:ea typeface="+mn-ea"/>
                <a:cs typeface="+mn-cs"/>
              </a:defRPr>
            </a:pPr>
            <a:r>
              <a:t/>
            </a:r>
            <a:endParaRPr lang="en-DE"/>
          </a:p>
        </txPr>
        <crossAx val="1992814800"/>
        <crossesAt val="-2.3"/>
        <crossBetween val="midCat"/>
      </valAx>
    </plotArea>
    <legend>
      <legendPos val="r"/>
      <legendEntry>
        <idx val="1"/>
        <delete val="1"/>
      </legendEntry>
      <legendEntry>
        <idx val="4"/>
        <delete val="1"/>
      </legendEntry>
      <legendEntry>
        <idx val="5"/>
        <delete val="1"/>
      </legendEntry>
      <legendEntry>
        <idx val="6"/>
        <delete val="1"/>
      </legendEntry>
      <legendEntry>
        <idx val="7"/>
        <delete val="1"/>
      </legendEntry>
      <legendEntry>
        <idx val="8"/>
        <delete val="1"/>
      </legendEntry>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DE"/>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593587</colOff>
      <row>5</row>
      <rowOff>167309</rowOff>
    </from>
    <to>
      <col>8</col>
      <colOff>622300</colOff>
      <row>29</row>
      <rowOff>104637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Custom 2">
      <a:dk1>
        <a:srgbClr val="000000"/>
      </a:dk1>
      <a:lt1>
        <a:srgbClr val="FFFFFF"/>
      </a:lt1>
      <a:dk2>
        <a:srgbClr val="0D004D"/>
      </a:dk2>
      <a:lt2>
        <a:srgbClr val="FFFFFF"/>
      </a:lt2>
      <a:accent1>
        <a:srgbClr val="B79BFE"/>
      </a:accent1>
      <a:accent2>
        <a:srgbClr val="7950E2"/>
      </a:accent2>
      <a:accent3>
        <a:srgbClr val="56E2E1"/>
      </a:accent3>
      <a:accent4>
        <a:srgbClr val="EC8DE2"/>
      </a:accent4>
      <a:accent5>
        <a:srgbClr val="FFCE00"/>
      </a:accent5>
      <a:accent6>
        <a:srgbClr val="B820A9"/>
      </a:accent6>
      <a:hlink>
        <a:srgbClr val="B79BFE"/>
      </a:hlink>
      <a:folHlink>
        <a:srgbClr val="B79BFE"/>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1">
    <outlinePr summaryBelow="1" summaryRight="1"/>
    <pageSetUpPr/>
  </sheetPr>
  <dimension ref="A1:G26"/>
  <sheetViews>
    <sheetView showRowColHeaders="0" topLeftCell="A3" zoomScale="220" zoomScaleNormal="220" workbookViewId="0">
      <selection activeCell="B6" sqref="B6:C12"/>
    </sheetView>
  </sheetViews>
  <sheetFormatPr baseColWidth="8" defaultColWidth="0" defaultRowHeight="14.5" customHeight="1" zeroHeight="1" outlineLevelRow="1"/>
  <cols>
    <col width="5.54296875" customWidth="1" style="1" min="1" max="1"/>
    <col width="31.1796875" bestFit="1" customWidth="1" style="1" min="2" max="2"/>
    <col width="84.1796875" customWidth="1" style="1" min="3" max="3"/>
    <col width="5.54296875" customWidth="1" style="1" min="4" max="4"/>
    <col hidden="1" style="1" min="5" max="7"/>
    <col hidden="1" width="8.81640625" customWidth="1" style="1" min="8" max="16384"/>
  </cols>
  <sheetData>
    <row r="1"/>
    <row r="2" ht="28.5" customHeight="1">
      <c r="B2" s="62" t="inlineStr">
        <is>
          <t>Price modelling</t>
        </is>
      </c>
      <c r="D2" s="2" t="n"/>
      <c r="E2" s="2" t="n"/>
      <c r="F2" s="2" t="n"/>
      <c r="G2" s="2" t="n"/>
    </row>
    <row r="4" ht="16" customHeight="1">
      <c r="B4" s="79" t="inlineStr">
        <is>
          <t>Value driver overview</t>
        </is>
      </c>
      <c r="C4" s="80" t="n"/>
    </row>
    <row r="5" ht="31.5" customHeight="1">
      <c r="B5" s="54" t="inlineStr">
        <is>
          <t>Value driver name</t>
        </is>
      </c>
      <c r="C5" s="54" t="inlineStr">
        <is>
          <t>Definition</t>
        </is>
      </c>
    </row>
    <row r="6" ht="31.5" customHeight="1">
      <c r="B6" s="51" t="inlineStr">
        <is>
          <t>Brand Awareness</t>
        </is>
      </c>
      <c r="C6" s="48" t="inlineStr">
        <is>
          <t>The degree to which customers value a platform’s market reputation and recognition to enhance the credibility and adoption of their credentials</t>
        </is>
      </c>
    </row>
    <row r="7" ht="31.5" customHeight="1">
      <c r="B7" s="52" t="inlineStr">
        <is>
          <t>Analytics</t>
        </is>
      </c>
      <c r="C7" s="49" t="inlineStr">
        <is>
          <t>The importance customers place on access to actionable data and insights to demonstrate program impact (ROI) and inform decision-making</t>
        </is>
      </c>
    </row>
    <row r="8" ht="31.5" customHeight="1">
      <c r="B8" s="52" t="inlineStr">
        <is>
          <t>Ease of Use (Issuer)</t>
        </is>
      </c>
      <c r="C8" s="49" t="inlineStr">
        <is>
          <t>The extent to which customers prioritize an intuitive and efficient administrative experience to minimize effort and operational complexity</t>
        </is>
      </c>
    </row>
    <row r="9" ht="31.5" customHeight="1">
      <c r="B9" s="52" t="inlineStr">
        <is>
          <t>Customer Support</t>
        </is>
      </c>
      <c r="C9" s="49" t="inlineStr">
        <is>
          <t>How reliable and effective buyers perceive the support experience to be in resolving issues and enabling success</t>
        </is>
      </c>
    </row>
    <row r="10" ht="31.5" customHeight="1">
      <c r="B10" s="52" t="inlineStr">
        <is>
          <t>Customization</t>
        </is>
      </c>
      <c r="C10" s="49" t="inlineStr">
        <is>
          <t>The degree to which buyers feel the platform can be adapted to their specific branding, workflows, and requirements</t>
        </is>
      </c>
    </row>
    <row r="11" ht="31.5" customHeight="1">
      <c r="B11" s="52" t="inlineStr">
        <is>
          <t>Ease of Use (Earner)</t>
        </is>
      </c>
      <c r="C11" s="49" t="inlineStr">
        <is>
          <t>How simple and intuitive buyers believe the experience is for end users, especially in driving engagement, completion, and sharing</t>
        </is>
      </c>
    </row>
    <row r="12" ht="31.5" customHeight="1">
      <c r="B12" s="52" t="inlineStr">
        <is>
          <t>Security</t>
        </is>
      </c>
      <c r="C12" s="49" t="inlineStr">
        <is>
          <t>How confident buyers are in the platform’s ability to protect data, ensure compliance, and maintain credential integrity</t>
        </is>
      </c>
    </row>
    <row r="13" ht="31.5" customHeight="1">
      <c r="B13" s="53" t="n"/>
      <c r="C13" s="50" t="n"/>
    </row>
    <row r="14" hidden="1" outlineLevel="1"/>
    <row r="15" hidden="1" outlineLevel="1" ht="16" customHeight="1">
      <c r="B15" s="79" t="inlineStr">
        <is>
          <t>Market strategies</t>
        </is>
      </c>
      <c r="C15" s="80" t="n"/>
    </row>
    <row r="16" hidden="1" outlineLevel="1">
      <c r="B16" s="45" t="inlineStr">
        <is>
          <t>Name</t>
        </is>
      </c>
      <c r="C16" s="47" t="inlineStr">
        <is>
          <t>Definition</t>
        </is>
      </c>
    </row>
    <row r="17" hidden="1" outlineLevel="1" ht="39" customHeight="1">
      <c r="B17" s="46" t="inlineStr">
        <is>
          <t>Challenger/gain market share</t>
        </is>
      </c>
      <c r="C17" s="34" t="inlineStr">
        <is>
          <t>Some markets have currently unrealized potential, due to a currently worse value proposition than the competition or an overall growth in the market. In these markets, pricing lower than the competition/lower than the provided value can help in growing the market share and maximize profitability in the long term.</t>
        </is>
      </c>
    </row>
    <row r="18" hidden="1" outlineLevel="1" ht="26" customHeight="1">
      <c r="B18" s="46" t="inlineStr">
        <is>
          <t>On par/no special objective</t>
        </is>
      </c>
      <c r="C18" s="34" t="inlineStr">
        <is>
          <t>Default option. In competitive markets, products should be priced according to the value they provide and value differences between competitors should be reflected in the prices of products.</t>
        </is>
      </c>
    </row>
    <row r="19" hidden="1" outlineLevel="1" ht="39" customHeight="1">
      <c r="B19" s="46" t="inlineStr">
        <is>
          <t>Market leader/defend market share</t>
        </is>
      </c>
      <c r="C19" s="34" t="inlineStr">
        <is>
          <t>In markets, in which PTE is already in a dominant position but competitors are trying to buy market share, one possible strategy is to price (slightly) lower than the provided value in order to prevent competitors from gaining market share.</t>
        </is>
      </c>
    </row>
    <row r="20" hidden="1" outlineLevel="1" ht="39" customHeight="1">
      <c r="B20" s="46" t="inlineStr">
        <is>
          <t>Margin skimming</t>
        </is>
      </c>
      <c r="C20" s="34" t="inlineStr">
        <is>
          <t>Markets can become less attractive if they are showing signs of a decline of the overall customer base or increasing difficulties of conducting business. In these markets, a premium can be charged in order to maximize profitability from a declining number of customers.</t>
        </is>
      </c>
    </row>
    <row r="21" hidden="1" outlineLevel="1"/>
    <row r="22" hidden="1" outlineLevel="1" ht="16" customHeight="1">
      <c r="B22" s="79" t="inlineStr">
        <is>
          <t>Calculation modifiers</t>
        </is>
      </c>
      <c r="C22" s="80" t="n"/>
    </row>
    <row r="23" hidden="1" outlineLevel="1">
      <c r="B23" s="45" t="inlineStr">
        <is>
          <t>Name</t>
        </is>
      </c>
      <c r="C23" s="47" t="inlineStr">
        <is>
          <t>Definition</t>
        </is>
      </c>
    </row>
    <row r="24" hidden="1" outlineLevel="1" ht="39" customHeight="1">
      <c r="B24" s="46" t="inlineStr">
        <is>
          <t>Market strategies</t>
        </is>
      </c>
      <c r="C24" s="34" t="inlineStr">
        <is>
          <t>See definitions above. For each of the strategic market objectives, a positive or negative percentage in-/decrease in price calculation can be added. These determine how aggressively these objectives are followed and need to be defined globally, per region, or per country.</t>
        </is>
      </c>
    </row>
    <row r="25" hidden="1" outlineLevel="1" ht="39" customHeight="1">
      <c r="B25" s="46" t="inlineStr">
        <is>
          <t>Max contribution per value driver</t>
        </is>
      </c>
      <c r="C25" s="34" t="inlineStr">
        <is>
          <t>This modifier defines how high the maximum price in-/decrease can be for a single value driver that has the highest importance and a strong negative or positive performance. The contribution of all other value drivers is derived from this value.</t>
        </is>
      </c>
    </row>
    <row r="26" hidden="1" outlineLevel="1" ht="39" customHeight="1">
      <c r="B26" s="46" t="inlineStr">
        <is>
          <t>Max total price range</t>
        </is>
      </c>
      <c r="C26" s="34" t="inlineStr">
        <is>
          <t>This is calculated directly from the "Max contribution per value driver" and shows how big the maximum achievable price de/-increase would be if all value drivers had the strongest negative/positive performance rating.</t>
        </is>
      </c>
    </row>
    <row r="27" collapsed="1"/>
    <row r="28" hidden="1"/>
  </sheetData>
  <mergeCells count="4">
    <mergeCell ref="B22:C22"/>
    <mergeCell ref="B4:C4"/>
    <mergeCell ref="B15:C15"/>
    <mergeCell ref="B2:C2"/>
  </mergeCell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B2:I21"/>
  <sheetViews>
    <sheetView showGridLines="0" topLeftCell="A3" zoomScale="190" zoomScaleNormal="190" workbookViewId="0">
      <selection activeCell="G18" sqref="G18"/>
    </sheetView>
  </sheetViews>
  <sheetFormatPr baseColWidth="8" defaultColWidth="8.7265625" defaultRowHeight="14.5" zeroHeight="1"/>
  <cols>
    <col width="8.7265625" customWidth="1" min="1" max="1"/>
    <col width="59.7265625" bestFit="1" customWidth="1" min="2" max="2"/>
    <col width="8.7265625" customWidth="1" min="3" max="3"/>
    <col width="8.1796875" customWidth="1" min="4" max="4"/>
    <col width="8.7265625" customWidth="1" min="5" max="5"/>
  </cols>
  <sheetData>
    <row r="2" ht="23.15" customHeight="1">
      <c r="B2" s="67" t="inlineStr">
        <is>
          <t>Step 1: Value Driver Relevance</t>
        </is>
      </c>
    </row>
    <row r="4">
      <c r="B4" s="27" t="inlineStr">
        <is>
          <t>Please specify the market for this exercise:</t>
        </is>
      </c>
      <c r="C4" s="28" t="n"/>
      <c r="D4" s="33" t="inlineStr">
        <is>
          <t>USA</t>
        </is>
      </c>
    </row>
    <row r="5">
      <c r="B5" s="27" t="inlineStr">
        <is>
          <t>Please specify the persona for this exercise:</t>
        </is>
      </c>
      <c r="C5" s="28" t="n"/>
      <c r="D5" s="33" t="inlineStr">
        <is>
          <t>SMB</t>
        </is>
      </c>
    </row>
    <row r="7">
      <c r="B7" s="29" t="inlineStr">
        <is>
          <t>Please rank these value drivers based on their relevance to the test taker</t>
        </is>
      </c>
      <c r="C7" s="30" t="n"/>
    </row>
    <row r="8">
      <c r="B8" s="31" t="inlineStr">
        <is>
          <t>1 = most important; 7 = least important</t>
        </is>
      </c>
      <c r="C8" s="32" t="n"/>
    </row>
    <row r="10">
      <c r="B10" s="5" t="inlineStr">
        <is>
          <t>Value driver</t>
        </is>
      </c>
      <c r="C10" s="5" t="inlineStr">
        <is>
          <t>Rank Final</t>
        </is>
      </c>
      <c r="D10" s="5" t="inlineStr">
        <is>
          <t>Rank EP</t>
        </is>
      </c>
      <c r="E10" s="5" t="inlineStr">
        <is>
          <t>Rank NG</t>
        </is>
      </c>
      <c r="F10" s="5" t="inlineStr">
        <is>
          <t>Rank CW</t>
        </is>
      </c>
      <c r="G10" s="5" t="inlineStr">
        <is>
          <t>Rank KL</t>
        </is>
      </c>
      <c r="H10" s="5" t="inlineStr">
        <is>
          <t>Rank BG</t>
        </is>
      </c>
      <c r="I10" s="5" t="inlineStr">
        <is>
          <t>Workshop avg. rank</t>
        </is>
      </c>
    </row>
    <row r="11">
      <c r="B11" s="75" t="inlineStr">
        <is>
          <t>Brand Awareness</t>
        </is>
      </c>
      <c r="C11" s="75">
        <f>RANK(I11,$I$11:$I$17,1)</f>
        <v/>
      </c>
      <c r="D11" s="75" t="n"/>
      <c r="E11" s="75" t="n">
        <v>1</v>
      </c>
      <c r="F11" s="75" t="n">
        <v>4</v>
      </c>
      <c r="G11" s="75" t="n">
        <v>4</v>
      </c>
      <c r="H11" s="75" t="n"/>
      <c r="I11" s="77">
        <f>AVERAGE(D11:H11)</f>
        <v/>
      </c>
    </row>
    <row r="12">
      <c r="B12" s="75" t="inlineStr">
        <is>
          <t>Analytics</t>
        </is>
      </c>
      <c r="C12" s="75">
        <f>RANK(I12,$I$11:$I$17,1)</f>
        <v/>
      </c>
      <c r="D12" s="75" t="n"/>
      <c r="E12" s="75" t="n">
        <v>6</v>
      </c>
      <c r="F12" s="75" t="n">
        <v>3</v>
      </c>
      <c r="G12" s="75" t="n">
        <v>5</v>
      </c>
      <c r="H12" s="75" t="n"/>
      <c r="I12" s="77">
        <f>AVERAGE(D12:H12)</f>
        <v/>
      </c>
    </row>
    <row r="13">
      <c r="B13" s="75" t="inlineStr">
        <is>
          <t>Ease of Use (Issuer)</t>
        </is>
      </c>
      <c r="C13" s="75">
        <f>RANK(I13,$I$11:$I$17,1)</f>
        <v/>
      </c>
      <c r="D13" s="75" t="n"/>
      <c r="E13" s="75" t="n">
        <v>2</v>
      </c>
      <c r="F13" s="75" t="n">
        <v>2</v>
      </c>
      <c r="G13" s="75" t="n">
        <v>1</v>
      </c>
      <c r="H13" s="75" t="n"/>
      <c r="I13" s="77">
        <f>AVERAGE(D13:H13)</f>
        <v/>
      </c>
    </row>
    <row r="14">
      <c r="B14" s="75" t="inlineStr">
        <is>
          <t>Customer Support</t>
        </is>
      </c>
      <c r="C14" s="75">
        <f>RANK(I14,$I$11:$I$17,1)</f>
        <v/>
      </c>
      <c r="D14" s="75" t="n"/>
      <c r="E14" s="75" t="n">
        <v>3</v>
      </c>
      <c r="F14" s="75" t="n">
        <v>1</v>
      </c>
      <c r="G14" s="75" t="n">
        <v>2</v>
      </c>
      <c r="H14" s="75" t="n"/>
      <c r="I14" s="77">
        <f>AVERAGE(D14:H14)</f>
        <v/>
      </c>
    </row>
    <row r="15">
      <c r="B15" s="75" t="inlineStr">
        <is>
          <t>Customization</t>
        </is>
      </c>
      <c r="C15" s="75">
        <f>RANK(I15,$I$11:$I$17,1)</f>
        <v/>
      </c>
      <c r="D15" s="75" t="n"/>
      <c r="E15" s="75" t="n">
        <v>4</v>
      </c>
      <c r="F15" s="75" t="n">
        <v>5</v>
      </c>
      <c r="G15" s="75" t="n">
        <v>6</v>
      </c>
      <c r="H15" s="75" t="n"/>
      <c r="I15" s="77">
        <f>AVERAGE(D15:H15)</f>
        <v/>
      </c>
    </row>
    <row r="16">
      <c r="B16" s="75" t="inlineStr">
        <is>
          <t>Ease of Use (Earner)</t>
        </is>
      </c>
      <c r="C16" s="75">
        <f>RANK(I16,$I$11:$I$17,1)</f>
        <v/>
      </c>
      <c r="D16" s="75" t="n"/>
      <c r="E16" s="75" t="n">
        <v>5</v>
      </c>
      <c r="F16" s="75" t="n">
        <v>6</v>
      </c>
      <c r="G16" s="75" t="n">
        <v>3</v>
      </c>
      <c r="H16" s="75" t="n"/>
      <c r="I16" s="77">
        <f>AVERAGE(D16:H16)</f>
        <v/>
      </c>
    </row>
    <row r="17">
      <c r="B17" s="75" t="inlineStr">
        <is>
          <t>Security</t>
        </is>
      </c>
      <c r="C17" s="75">
        <f>RANK(I17,$I$11:$I$17,1)</f>
        <v/>
      </c>
      <c r="D17" s="75" t="n"/>
      <c r="E17" s="75" t="n">
        <v>7</v>
      </c>
      <c r="F17" s="75" t="n">
        <v>7</v>
      </c>
      <c r="G17" s="75" t="n">
        <v>7</v>
      </c>
      <c r="H17" s="75" t="n"/>
      <c r="I17" s="77">
        <f>AVERAGE(D17:H17)</f>
        <v/>
      </c>
    </row>
    <row r="20">
      <c r="B20" s="65" t="inlineStr">
        <is>
          <t>Please make sure to rank all 7 Value Drivers</t>
        </is>
      </c>
    </row>
    <row r="21">
      <c r="B21" s="66" t="inlineStr">
        <is>
          <t>You are good to go. Please proceed to Step 2.</t>
        </is>
      </c>
    </row>
  </sheetData>
  <mergeCells count="3">
    <mergeCell ref="B21:C21"/>
    <mergeCell ref="B20:C20"/>
    <mergeCell ref="B2:D2"/>
  </mergeCells>
  <conditionalFormatting sqref="B20:C20">
    <cfRule type="expression" priority="8" dxfId="14">
      <formula>AND(   COUNTA($C$11:$C$17)=7,   SUMPRODUCT(COUNTIF($C$11:$C$17,ROW(INDIRECT("1:7"))))=7 )</formula>
    </cfRule>
  </conditionalFormatting>
  <conditionalFormatting sqref="B21:C21">
    <cfRule type="expression" priority="7" dxfId="17">
      <formula>AND(   COUNTA($C$11:$C$18)=8,   SUMPRODUCT(COUNTIF($C$11:$C$18,ROW(INDIRECT("1:8"))))=8 )</formula>
    </cfRule>
  </conditionalFormatting>
  <conditionalFormatting sqref="C11:I17">
    <cfRule type="containsBlanks" priority="1" dxfId="0">
      <formula>LEN(TRIM(C11))=0</formula>
    </cfRule>
  </conditionalFormatting>
  <conditionalFormatting sqref="D4:D5">
    <cfRule type="containsBlanks" priority="9" dxfId="0">
      <formula>LEN(TRIM(D4))=0</formula>
    </cfRule>
  </conditionalFormatting>
  <hyperlinks>
    <hyperlink ref="B21" location="'Step 2 competition'!A1" display="You are good to go. Please proceed to Step 2"/>
  </hyperlinks>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B2:D37"/>
  <sheetViews>
    <sheetView showGridLines="0" zoomScale="160" zoomScaleNormal="160" workbookViewId="0">
      <selection activeCell="B12" sqref="B12"/>
    </sheetView>
  </sheetViews>
  <sheetFormatPr baseColWidth="8" defaultColWidth="0" defaultRowHeight="14.5" zeroHeight="1"/>
  <cols>
    <col width="8.7265625" customWidth="1" min="1" max="1"/>
    <col width="70.81640625" customWidth="1" min="2" max="2"/>
    <col width="11.453125" bestFit="1" customWidth="1" min="3" max="3"/>
    <col width="8.7265625" customWidth="1" min="4" max="4"/>
    <col hidden="1" min="5" max="6"/>
    <col hidden="1" width="8.7265625" customWidth="1" min="7" max="16384"/>
  </cols>
  <sheetData>
    <row r="2" ht="24.65" customHeight="1">
      <c r="B2" s="67" t="inlineStr">
        <is>
          <t>Step 2: Market Situation</t>
        </is>
      </c>
    </row>
    <row r="4">
      <c r="B4" s="9" t="inlineStr">
        <is>
          <t>Which are the most relevant competitors in the market?</t>
        </is>
      </c>
      <c r="C4" s="10" t="n"/>
      <c r="D4" s="35">
        <f>AND(
  COUNTA($C$18:$C$20)=3,
  COUNTA($C$29:$C$31)=3,
  OR($B$10="(enter name here)", AND($C$21&lt;&gt;"",$C$32&lt;&gt;"")),
  OR($B$11="(enter name here)", AND($C$22&lt;&gt;"",$C$33&lt;&gt;"")),
  OR($B$12="(enter name here)", AND($C$23&lt;&gt;"",$C$34&lt;&gt;""))
)</f>
        <v/>
      </c>
    </row>
    <row r="6">
      <c r="B6" s="5" t="inlineStr">
        <is>
          <t>Competitor name</t>
        </is>
      </c>
    </row>
    <row r="7">
      <c r="B7" s="75" t="inlineStr">
        <is>
          <t>Credly</t>
        </is>
      </c>
    </row>
    <row r="8">
      <c r="B8" s="75" t="inlineStr">
        <is>
          <t>Accredible</t>
        </is>
      </c>
    </row>
    <row r="9">
      <c r="B9" s="75" t="inlineStr">
        <is>
          <t>Sertifier</t>
        </is>
      </c>
    </row>
    <row r="10">
      <c r="B10" s="75" t="inlineStr">
        <is>
          <t>Instructure/Canvas</t>
        </is>
      </c>
    </row>
    <row r="11">
      <c r="B11" s="75" t="inlineStr">
        <is>
          <t>BadgeCert</t>
        </is>
      </c>
    </row>
    <row r="12">
      <c r="B12" s="75" t="inlineStr">
        <is>
          <t>(enter name here)</t>
        </is>
      </c>
    </row>
    <row r="15">
      <c r="B15" s="9" t="inlineStr">
        <is>
          <t>Fill in the prices (in USD) of the competitors you added</t>
        </is>
      </c>
      <c r="C15" s="8" t="n"/>
    </row>
    <row r="17">
      <c r="B17" s="5" t="inlineStr">
        <is>
          <t>Competitor name</t>
        </is>
      </c>
      <c r="C17" s="5" t="inlineStr">
        <is>
          <t>Price</t>
        </is>
      </c>
    </row>
    <row r="18">
      <c r="B18">
        <f>IF(B7="(enter name here)","",B7)</f>
        <v/>
      </c>
    </row>
    <row r="19">
      <c r="B19">
        <f>IF(B8="(enter name here)","",B8)</f>
        <v/>
      </c>
    </row>
    <row r="20">
      <c r="B20">
        <f>IF(B9="(enter name here)","",B9)</f>
        <v/>
      </c>
    </row>
    <row r="21">
      <c r="B21">
        <f>IF(B10="(enter name here)","",B10)</f>
        <v/>
      </c>
    </row>
    <row r="22">
      <c r="B22">
        <f>IF(B11="(enter name here)","",B11)</f>
        <v/>
      </c>
    </row>
    <row r="23">
      <c r="B23">
        <f>IF(B12="(enter name here)","",B12)</f>
        <v/>
      </c>
    </row>
    <row r="26">
      <c r="B26" s="9" t="inlineStr">
        <is>
          <t>Please give an estimate of the relative market share of each competitor</t>
        </is>
      </c>
      <c r="C26" s="8" t="n"/>
    </row>
    <row r="28">
      <c r="B28" s="5" t="inlineStr">
        <is>
          <t>Competitor name</t>
        </is>
      </c>
      <c r="C28" s="5" t="inlineStr">
        <is>
          <t>Market share</t>
        </is>
      </c>
    </row>
    <row r="29">
      <c r="B29">
        <f>IF(B7="(enter name here)","",B7)</f>
        <v/>
      </c>
      <c r="C29" s="11" t="n"/>
    </row>
    <row r="30">
      <c r="B30">
        <f>IF(B8="(enter name here)","",B8)</f>
        <v/>
      </c>
      <c r="C30" s="11" t="n"/>
    </row>
    <row r="31">
      <c r="B31">
        <f>IF(B9="(enter name here)","",B9)</f>
        <v/>
      </c>
      <c r="C31" s="11" t="n"/>
    </row>
    <row r="32">
      <c r="B32">
        <f>IF(B10="(enter name here)","",B10)</f>
        <v/>
      </c>
      <c r="C32" s="11" t="n"/>
    </row>
    <row r="33">
      <c r="B33">
        <f>IF(B11="(enter name here)","",B11)</f>
        <v/>
      </c>
      <c r="C33" s="11" t="n"/>
    </row>
    <row r="34">
      <c r="B34">
        <f>IF(B12="(enter name here)","",B12)</f>
        <v/>
      </c>
      <c r="C34" s="11" t="n"/>
    </row>
    <row r="36">
      <c r="B36" s="65" t="inlineStr">
        <is>
          <t>Please fill in a price and market share for all relevant competitors</t>
        </is>
      </c>
    </row>
    <row r="37">
      <c r="B37" s="66" t="inlineStr">
        <is>
          <t>You are good to go. Please proceed to Step 3.</t>
        </is>
      </c>
    </row>
  </sheetData>
  <mergeCells count="3">
    <mergeCell ref="B36:C36"/>
    <mergeCell ref="B37:C37"/>
    <mergeCell ref="B2:C2"/>
  </mergeCells>
  <conditionalFormatting sqref="B7:B12">
    <cfRule type="containsText" priority="9" operator="containsText" dxfId="25" text="(enter name here)">
      <formula>NOT(ISERROR(SEARCH("(enter name here)",B7)))</formula>
    </cfRule>
  </conditionalFormatting>
  <conditionalFormatting sqref="B18:B23">
    <cfRule type="expression" priority="8" dxfId="19">
      <formula>B7&lt;&gt;"(enter name here)"</formula>
    </cfRule>
  </conditionalFormatting>
  <conditionalFormatting sqref="B29:B34">
    <cfRule type="expression" priority="4" dxfId="19">
      <formula>B7&lt;&gt;"(enter name here)"</formula>
    </cfRule>
  </conditionalFormatting>
  <conditionalFormatting sqref="B36">
    <cfRule type="expression" priority="16" dxfId="14">
      <formula>D4=TRUE</formula>
    </cfRule>
  </conditionalFormatting>
  <conditionalFormatting sqref="B37">
    <cfRule type="expression" priority="18" dxfId="17">
      <formula>D4=TRUE</formula>
    </cfRule>
  </conditionalFormatting>
  <conditionalFormatting sqref="C18:C23">
    <cfRule type="expression" priority="5" dxfId="19">
      <formula>B7&lt;&gt;"(enter name here)"</formula>
    </cfRule>
  </conditionalFormatting>
  <conditionalFormatting sqref="C29:C34">
    <cfRule type="expression" priority="3" dxfId="19">
      <formula>B7&lt;&gt;"(enter name here)"</formula>
    </cfRule>
  </conditionalFormatting>
  <conditionalFormatting sqref="C36">
    <cfRule type="expression" priority="2" dxfId="14">
      <formula>G4=TRUE</formula>
    </cfRule>
  </conditionalFormatting>
  <conditionalFormatting sqref="C37">
    <cfRule type="expression" priority="1" dxfId="17">
      <formula>G4=TRUE</formula>
    </cfRule>
  </conditionalFormatting>
  <hyperlinks>
    <hyperlink ref="B37" location="'Step 3 Value assessment'!A1" display="You are good to go. Please proceed to Step 3."/>
  </hyperlinks>
  <pageMargins left="0.7" right="0.7" top="0.75" bottom="0.75" header="0.3" footer="0.3"/>
</worksheet>
</file>

<file path=xl/worksheets/sheet4.xml><?xml version="1.0" encoding="utf-8"?>
<worksheet xmlns="http://schemas.openxmlformats.org/spreadsheetml/2006/main">
  <sheetPr codeName="Sheet4">
    <outlinePr summaryBelow="1" summaryRight="1"/>
    <pageSetUpPr/>
  </sheetPr>
  <dimension ref="B2:AA19"/>
  <sheetViews>
    <sheetView showGridLines="0" tabSelected="1" zoomScale="190" zoomScaleNormal="190" workbookViewId="0">
      <selection activeCell="D9" sqref="D9:H15"/>
    </sheetView>
  </sheetViews>
  <sheetFormatPr baseColWidth="8" defaultColWidth="8.7265625" defaultRowHeight="14.5" zeroHeight="1"/>
  <cols>
    <col width="8.7265625" customWidth="1" min="1" max="2"/>
    <col width="37.54296875" customWidth="1" min="3" max="3"/>
    <col width="8.7265625" customWidth="1" min="4" max="9"/>
  </cols>
  <sheetData>
    <row r="2" ht="21.65" customHeight="1">
      <c r="B2" s="69" t="inlineStr">
        <is>
          <t>Step 3: Competition Value Assessment</t>
        </is>
      </c>
    </row>
    <row r="4">
      <c r="B4" s="68" t="inlineStr">
        <is>
          <t>Please evaluate each competitor's performance on each of the value drivers from -2 to +2</t>
        </is>
      </c>
      <c r="H4" s="35">
        <f>AND(
  COUNTA($D$9:$F$15)=ROWS($D$9:$F$15)*COLUMNS($D$9:$F$15),
  OR($G$8="",COUNTA($G$9:$G$15)=ROWS($G$9:$G$15)),
  OR($H$8="",COUNTA($H$9:$H$15)=ROWS($H$9:$H$15)),
  OR($I$8="",COUNTA($I$9:$I$15)=ROWS($I$9:$I$15))
)</f>
        <v/>
      </c>
    </row>
    <row r="5">
      <c r="B5" s="68" t="inlineStr">
        <is>
          <t>0 = market average; 2 = leading the market; -2 = significantly lacking</t>
        </is>
      </c>
      <c r="G5" s="8" t="n"/>
    </row>
    <row r="7">
      <c r="I7" s="5" t="inlineStr">
        <is>
          <t>EP</t>
        </is>
      </c>
      <c r="M7" s="5" t="inlineStr">
        <is>
          <t>NG</t>
        </is>
      </c>
      <c r="Q7" s="5" t="inlineStr">
        <is>
          <t>CW</t>
        </is>
      </c>
      <c r="U7" s="5" t="inlineStr">
        <is>
          <t>KL</t>
        </is>
      </c>
      <c r="Y7" s="5" t="inlineStr">
        <is>
          <t>BG</t>
        </is>
      </c>
    </row>
    <row r="8">
      <c r="B8" s="5" t="inlineStr">
        <is>
          <t>Rank</t>
        </is>
      </c>
      <c r="C8" s="5" t="inlineStr">
        <is>
          <t>Value driver name</t>
        </is>
      </c>
      <c r="D8" s="5">
        <f>IF('Step 2 competition'!B7="(enter name here)","",'Step 2 competition'!B7)</f>
        <v/>
      </c>
      <c r="E8" s="5">
        <f>IF('Step 2 competition'!B8="(enter name here)","",'Step 2 competition'!B8)</f>
        <v/>
      </c>
      <c r="F8" s="5">
        <f>IF('Step 2 competition'!B9="(enter name here)","",'Step 2 competition'!B9)</f>
        <v/>
      </c>
      <c r="G8" s="7">
        <f>IF('Step 2 competition'!B10="(enter name here)","",'Step 2 competition'!B10)</f>
        <v/>
      </c>
      <c r="H8" s="7">
        <f>IF('Step 2 competition'!B11="(enter name here)","",'Step 2 competition'!B11)</f>
        <v/>
      </c>
      <c r="I8" s="5" t="inlineStr">
        <is>
          <t>Credly</t>
        </is>
      </c>
      <c r="J8" s="5" t="n"/>
      <c r="K8" s="5" t="n"/>
      <c r="M8" s="5" t="inlineStr">
        <is>
          <t>Credly</t>
        </is>
      </c>
      <c r="N8" s="5" t="inlineStr">
        <is>
          <t>Accredible</t>
        </is>
      </c>
      <c r="O8" s="5" t="inlineStr">
        <is>
          <t>Sertifier</t>
        </is>
      </c>
      <c r="P8" s="5" t="inlineStr">
        <is>
          <t>Badgecert</t>
        </is>
      </c>
      <c r="Q8" s="5" t="inlineStr">
        <is>
          <t>Credly</t>
        </is>
      </c>
      <c r="R8" s="5" t="inlineStr">
        <is>
          <t>Accredible</t>
        </is>
      </c>
      <c r="S8" s="5" t="n"/>
      <c r="U8" s="5" t="inlineStr">
        <is>
          <t>Credly</t>
        </is>
      </c>
      <c r="V8" s="5" t="inlineStr">
        <is>
          <t>Accredible</t>
        </is>
      </c>
      <c r="W8" s="5" t="inlineStr">
        <is>
          <t>Sertifier</t>
        </is>
      </c>
      <c r="X8" s="5" t="inlineStr">
        <is>
          <t>Instructure/Canvas</t>
        </is>
      </c>
      <c r="Y8" s="5" t="inlineStr">
        <is>
          <t>Credly</t>
        </is>
      </c>
      <c r="Z8" s="5" t="n"/>
      <c r="AA8" s="5" t="n"/>
    </row>
    <row r="9">
      <c r="B9" s="75" t="n">
        <v>1</v>
      </c>
      <c r="C9" s="75">
        <f>_xlfn.XLOOKUP(B9,'Step 1 VD Relevance'!$C$11:$C$18,'Step 1 VD Relevance'!$B$11:$B$18,"",0)</f>
        <v/>
      </c>
      <c r="D9" s="77">
        <f>AVERAGE(I9,M9,Q9,U9,Y9)</f>
        <v/>
      </c>
      <c r="E9" s="77">
        <f>AVERAGE(J9,N9,R9,V9,Z9)</f>
        <v/>
      </c>
      <c r="F9" s="77">
        <f>AVERAGE(K9,O9,S9,W9,AA9)</f>
        <v/>
      </c>
      <c r="G9" s="78">
        <f>X9</f>
        <v/>
      </c>
      <c r="H9" s="78">
        <f>P9</f>
        <v/>
      </c>
      <c r="I9" s="75" t="n"/>
      <c r="J9" s="75" t="n"/>
      <c r="K9" s="75" t="n"/>
      <c r="M9" s="75" t="n">
        <v>2</v>
      </c>
      <c r="N9" s="75" t="n">
        <v>0</v>
      </c>
      <c r="O9" s="75" t="n">
        <v>1</v>
      </c>
      <c r="P9" s="75" t="n">
        <v>1</v>
      </c>
      <c r="Q9" s="75" t="n">
        <v>2</v>
      </c>
      <c r="R9" s="75" t="n">
        <v>-2</v>
      </c>
      <c r="S9" s="75" t="n"/>
      <c r="U9" s="75" t="n">
        <v>1</v>
      </c>
      <c r="V9" s="75" t="n">
        <v>1</v>
      </c>
      <c r="W9" s="76" t="n">
        <v>2</v>
      </c>
      <c r="X9" s="76" t="n">
        <v>-1</v>
      </c>
      <c r="Y9" s="75" t="n"/>
      <c r="Z9" s="75" t="n"/>
      <c r="AA9" s="75" t="n"/>
    </row>
    <row r="10">
      <c r="B10" s="75" t="n">
        <v>2</v>
      </c>
      <c r="C10" s="75">
        <f>_xlfn.XLOOKUP(B10,'Step 1 VD Relevance'!$C$11:$C$18,'Step 1 VD Relevance'!$B$11:$B$18,"",0)</f>
        <v/>
      </c>
      <c r="D10" s="77">
        <f>AVERAGE(I10,M10,Q10,U10,Y10)</f>
        <v/>
      </c>
      <c r="E10" s="77">
        <f>AVERAGE(J10,N10,R10,V10,Z10)</f>
        <v/>
      </c>
      <c r="F10" s="77">
        <f>AVERAGE(K10,O10,S10,W10,AA10)</f>
        <v/>
      </c>
      <c r="G10" s="78">
        <f>X10</f>
        <v/>
      </c>
      <c r="H10" s="78">
        <f>P10</f>
        <v/>
      </c>
      <c r="I10" s="75" t="n"/>
      <c r="J10" s="75" t="n"/>
      <c r="K10" s="75" t="n"/>
      <c r="M10" s="75" t="n">
        <v>0</v>
      </c>
      <c r="N10" s="75" t="n">
        <v>0</v>
      </c>
      <c r="O10" s="75" t="n">
        <v>1</v>
      </c>
      <c r="P10" s="75" t="n">
        <v>1</v>
      </c>
      <c r="Q10" s="75" t="n">
        <v>2</v>
      </c>
      <c r="R10" s="75" t="n">
        <v>-2</v>
      </c>
      <c r="S10" s="75" t="n"/>
      <c r="U10" s="75" t="n">
        <v>1</v>
      </c>
      <c r="V10" s="75" t="n">
        <v>1</v>
      </c>
      <c r="W10" s="76" t="n">
        <v>1</v>
      </c>
      <c r="X10" s="76" t="n">
        <v>0</v>
      </c>
      <c r="Y10" s="75" t="n"/>
      <c r="Z10" s="75" t="n"/>
      <c r="AA10" s="75" t="n"/>
    </row>
    <row r="11">
      <c r="B11" s="75" t="n">
        <v>3</v>
      </c>
      <c r="C11" s="75">
        <f>_xlfn.XLOOKUP(B11,'Step 1 VD Relevance'!$C$11:$C$18,'Step 1 VD Relevance'!$B$11:$B$18,"",0)</f>
        <v/>
      </c>
      <c r="D11" s="77">
        <f>AVERAGE(I11,M11,Q11,U11,Y11)</f>
        <v/>
      </c>
      <c r="E11" s="77">
        <f>AVERAGE(J11,N11,R11,V11,Z11)</f>
        <v/>
      </c>
      <c r="F11" s="77">
        <f>AVERAGE(K11,O11,S11,W11,AA11)</f>
        <v/>
      </c>
      <c r="G11" s="78">
        <f>X11</f>
        <v/>
      </c>
      <c r="H11" s="78">
        <f>P11</f>
        <v/>
      </c>
      <c r="I11" s="75" t="n"/>
      <c r="J11" s="75" t="n"/>
      <c r="K11" s="75" t="n"/>
      <c r="M11" s="75" t="n">
        <v>1</v>
      </c>
      <c r="N11" s="75" t="n">
        <v>0</v>
      </c>
      <c r="O11" s="75" t="n">
        <v>-1</v>
      </c>
      <c r="P11" s="75" t="n">
        <v>-1</v>
      </c>
      <c r="Q11" s="75" t="n">
        <v>0</v>
      </c>
      <c r="R11" s="75" t="n">
        <v>0</v>
      </c>
      <c r="S11" s="75" t="n"/>
      <c r="U11" s="75" t="n">
        <v>2</v>
      </c>
      <c r="V11" s="75" t="n">
        <v>1</v>
      </c>
      <c r="W11" s="76" t="n">
        <v>0</v>
      </c>
      <c r="X11" s="76" t="n">
        <v>0</v>
      </c>
      <c r="Y11" s="75" t="n"/>
      <c r="Z11" s="75" t="n"/>
      <c r="AA11" s="75" t="n"/>
    </row>
    <row r="12">
      <c r="B12" s="75" t="n">
        <v>4</v>
      </c>
      <c r="C12" s="75">
        <f>_xlfn.XLOOKUP(B12,'Step 1 VD Relevance'!$C$11:$C$18,'Step 1 VD Relevance'!$B$11:$B$18,"",0)</f>
        <v/>
      </c>
      <c r="D12" s="77">
        <f>AVERAGE(I12,M12,Q12,U12,Y12)</f>
        <v/>
      </c>
      <c r="E12" s="77">
        <f>AVERAGE(J12,N12,R12,V12,Z12)</f>
        <v/>
      </c>
      <c r="F12" s="77">
        <f>AVERAGE(K12,O12,S12,W12,AA12)</f>
        <v/>
      </c>
      <c r="G12" s="78">
        <f>X12</f>
        <v/>
      </c>
      <c r="H12" s="78">
        <f>P12</f>
        <v/>
      </c>
      <c r="I12" s="75" t="n"/>
      <c r="J12" s="75" t="n"/>
      <c r="K12" s="75" t="n"/>
      <c r="M12" s="75" t="n">
        <v>1</v>
      </c>
      <c r="N12" s="75" t="n">
        <v>1</v>
      </c>
      <c r="O12" s="75" t="n">
        <v>0</v>
      </c>
      <c r="P12" s="75" t="n">
        <v>0</v>
      </c>
      <c r="Q12" s="75" t="n">
        <v>2</v>
      </c>
      <c r="R12" s="75" t="n">
        <v>-1</v>
      </c>
      <c r="S12" s="75" t="n"/>
      <c r="U12" s="75" t="n">
        <v>2</v>
      </c>
      <c r="V12" s="75" t="n">
        <v>1</v>
      </c>
      <c r="W12" s="76" t="n">
        <v>-1</v>
      </c>
      <c r="X12" s="76" t="n">
        <v>0</v>
      </c>
      <c r="Y12" s="75" t="n"/>
      <c r="Z12" s="75" t="n"/>
      <c r="AA12" s="75" t="n"/>
    </row>
    <row r="13">
      <c r="B13" s="75" t="n">
        <v>5</v>
      </c>
      <c r="C13" s="75">
        <f>_xlfn.XLOOKUP(B13,'Step 1 VD Relevance'!$C$11:$C$18,'Step 1 VD Relevance'!$B$11:$B$18,"",0)</f>
        <v/>
      </c>
      <c r="D13" s="77">
        <f>AVERAGE(I13,M13,Q13,U13,Y13)</f>
        <v/>
      </c>
      <c r="E13" s="77">
        <f>AVERAGE(J13,N13,R13,V13,Z13)</f>
        <v/>
      </c>
      <c r="F13" s="77">
        <f>AVERAGE(K13,O13,S13,W13,AA13)</f>
        <v/>
      </c>
      <c r="G13" s="78">
        <f>X13</f>
        <v/>
      </c>
      <c r="H13" s="78">
        <f>P13</f>
        <v/>
      </c>
      <c r="I13" s="75" t="n"/>
      <c r="J13" s="75" t="n"/>
      <c r="K13" s="75" t="n"/>
      <c r="M13" s="75" t="n">
        <v>-1</v>
      </c>
      <c r="N13" s="75" t="n">
        <v>1</v>
      </c>
      <c r="O13" s="75" t="n">
        <v>1</v>
      </c>
      <c r="P13" s="75" t="n">
        <v>1</v>
      </c>
      <c r="Q13" s="75" t="n">
        <v>-2</v>
      </c>
      <c r="R13" s="75" t="n">
        <v>2</v>
      </c>
      <c r="S13" s="75" t="n"/>
      <c r="U13" s="75" t="n">
        <v>1</v>
      </c>
      <c r="V13" s="75" t="n">
        <v>1</v>
      </c>
      <c r="W13" s="76" t="n">
        <v>0</v>
      </c>
      <c r="X13" s="76" t="n">
        <v>-1</v>
      </c>
      <c r="Y13" s="75" t="n"/>
      <c r="Z13" s="75" t="n"/>
      <c r="AA13" s="75" t="n"/>
    </row>
    <row r="14">
      <c r="B14" s="75" t="n">
        <v>6</v>
      </c>
      <c r="C14" s="75">
        <f>_xlfn.XLOOKUP(B14,'Step 1 VD Relevance'!$C$11:$C$18,'Step 1 VD Relevance'!$B$11:$B$18,"",0)</f>
        <v/>
      </c>
      <c r="D14" s="77">
        <f>AVERAGE(I14,M14,Q14,U14,Y14)</f>
        <v/>
      </c>
      <c r="E14" s="77">
        <f>AVERAGE(J14,N14,R14,V14,Z14)</f>
        <v/>
      </c>
      <c r="F14" s="77">
        <f>AVERAGE(K14,O14,S14,W14,AA14)</f>
        <v/>
      </c>
      <c r="G14" s="78">
        <f>X14</f>
        <v/>
      </c>
      <c r="H14" s="78">
        <f>P14</f>
        <v/>
      </c>
      <c r="I14" s="75" t="n"/>
      <c r="J14" s="75" t="n"/>
      <c r="K14" s="75" t="n"/>
      <c r="M14" s="75" t="n">
        <v>1</v>
      </c>
      <c r="N14" s="75" t="n">
        <v>0</v>
      </c>
      <c r="O14" s="75" t="n">
        <v>-1</v>
      </c>
      <c r="P14" s="75" t="n">
        <v>-1</v>
      </c>
      <c r="Q14" s="75" t="n">
        <v>2</v>
      </c>
      <c r="R14" s="75" t="n">
        <v>-2</v>
      </c>
      <c r="S14" s="75" t="n"/>
      <c r="U14" s="75" t="n">
        <v>1</v>
      </c>
      <c r="V14" s="75" t="n">
        <v>2</v>
      </c>
      <c r="W14" s="76" t="n">
        <v>0</v>
      </c>
      <c r="X14" s="76" t="n">
        <v>-1</v>
      </c>
      <c r="Y14" s="75" t="n"/>
      <c r="Z14" s="75" t="n"/>
      <c r="AA14" s="75" t="n"/>
    </row>
    <row r="15">
      <c r="B15" s="75" t="n">
        <v>7</v>
      </c>
      <c r="C15" s="75">
        <f>_xlfn.XLOOKUP(B15,'Step 1 VD Relevance'!$C$11:$C$18,'Step 1 VD Relevance'!$B$11:$B$18,"",0)</f>
        <v/>
      </c>
      <c r="D15" s="77">
        <f>AVERAGE(I15,M15,Q15,U15,Y15)</f>
        <v/>
      </c>
      <c r="E15" s="77">
        <f>AVERAGE(J15,N15,R15,V15,Z15)</f>
        <v/>
      </c>
      <c r="F15" s="77">
        <f>AVERAGE(K15,O15,S15,W15,AA15)</f>
        <v/>
      </c>
      <c r="G15" s="78">
        <f>X15</f>
        <v/>
      </c>
      <c r="H15" s="78">
        <f>P15</f>
        <v/>
      </c>
      <c r="I15" s="75" t="n"/>
      <c r="J15" s="75" t="n"/>
      <c r="K15" s="75" t="n"/>
      <c r="M15" s="75" t="n">
        <v>2</v>
      </c>
      <c r="N15" s="75" t="n">
        <v>-2</v>
      </c>
      <c r="O15" s="75" t="n">
        <v>-2</v>
      </c>
      <c r="P15" s="75" t="n">
        <v>-2</v>
      </c>
      <c r="Q15" s="75" t="n">
        <v>0</v>
      </c>
      <c r="R15" s="75" t="n">
        <v>0</v>
      </c>
      <c r="S15" s="75" t="n"/>
      <c r="U15" s="75" t="n">
        <v>2</v>
      </c>
      <c r="V15" s="75" t="n">
        <v>1</v>
      </c>
      <c r="W15" s="76" t="n">
        <v>-1</v>
      </c>
      <c r="X15" s="76" t="n">
        <v>1</v>
      </c>
      <c r="Y15" s="75" t="n"/>
      <c r="Z15" s="75" t="n"/>
      <c r="AA15" s="75" t="n"/>
    </row>
    <row r="18">
      <c r="B18" s="65" t="inlineStr">
        <is>
          <t>Please assess the performance for all value drivers for all relevant competitors.</t>
        </is>
      </c>
    </row>
    <row r="19">
      <c r="B19" s="66" t="n"/>
    </row>
  </sheetData>
  <mergeCells count="5">
    <mergeCell ref="B2:G2"/>
    <mergeCell ref="B5:F5"/>
    <mergeCell ref="B19:F19"/>
    <mergeCell ref="B4:G4"/>
    <mergeCell ref="B18:F18"/>
  </mergeCells>
  <conditionalFormatting sqref="B18">
    <cfRule type="expression" priority="25" dxfId="14">
      <formula>H4=TRUE</formula>
    </cfRule>
  </conditionalFormatting>
  <conditionalFormatting sqref="B19">
    <cfRule type="expression" priority="27" dxfId="13">
      <formula>H4=TRUE</formula>
    </cfRule>
  </conditionalFormatting>
  <conditionalFormatting sqref="C18:F18">
    <cfRule type="expression" priority="15" dxfId="14">
      <formula>J4=TRUE</formula>
    </cfRule>
  </conditionalFormatting>
  <conditionalFormatting sqref="C19:F19">
    <cfRule type="expression" priority="14" dxfId="13">
      <formula>J4=TRUE</formula>
    </cfRule>
  </conditionalFormatting>
  <conditionalFormatting sqref="D9:F15">
    <cfRule type="containsBlanks" priority="23" dxfId="0">
      <formula>LEN(TRIM(D9))=0</formula>
    </cfRule>
  </conditionalFormatting>
  <conditionalFormatting sqref="D9:K15 I16">
    <cfRule type="colorScale" priority="16">
      <colorScale>
        <cfvo type="num" val="-2"/>
        <cfvo type="num" val="0"/>
        <cfvo type="num" val="2"/>
        <color rgb="FFF8696B"/>
        <color rgb="FFFCFCFF"/>
        <color rgb="FF63BE7B"/>
      </colorScale>
    </cfRule>
  </conditionalFormatting>
  <conditionalFormatting sqref="G9:G15">
    <cfRule type="expression" priority="20" dxfId="8">
      <formula>$G$8&lt;&gt;""</formula>
    </cfRule>
  </conditionalFormatting>
  <conditionalFormatting sqref="G8:H8">
    <cfRule type="containsBlanks" priority="22" dxfId="10">
      <formula>LEN(TRIM(G8))=0</formula>
    </cfRule>
  </conditionalFormatting>
  <conditionalFormatting sqref="H9:H15">
    <cfRule type="expression" priority="19" dxfId="8">
      <formula>$H$8&lt;&gt;""</formula>
    </cfRule>
  </conditionalFormatting>
  <conditionalFormatting sqref="I16">
    <cfRule type="expression" priority="18" dxfId="8">
      <formula>$I$8&lt;&gt;""</formula>
    </cfRule>
  </conditionalFormatting>
  <conditionalFormatting sqref="I9:K15">
    <cfRule type="containsBlanks" priority="13" dxfId="0">
      <formula>LEN(TRIM(I9))=0</formula>
    </cfRule>
  </conditionalFormatting>
  <conditionalFormatting sqref="M9:O15">
    <cfRule type="containsBlanks" priority="11" dxfId="0">
      <formula>LEN(TRIM(M9))=0</formula>
    </cfRule>
    <cfRule type="colorScale" priority="12">
      <colorScale>
        <cfvo type="num" val="-2"/>
        <cfvo type="num" val="0"/>
        <cfvo type="num" val="2"/>
        <color rgb="FFF8696B"/>
        <color rgb="FFFCFCFF"/>
        <color rgb="FF63BE7B"/>
      </colorScale>
    </cfRule>
  </conditionalFormatting>
  <conditionalFormatting sqref="Q9:S15">
    <cfRule type="containsBlanks" priority="9" dxfId="0">
      <formula>LEN(TRIM(Q9))=0</formula>
    </cfRule>
    <cfRule type="colorScale" priority="10">
      <colorScale>
        <cfvo type="num" val="-2"/>
        <cfvo type="num" val="0"/>
        <cfvo type="num" val="2"/>
        <color rgb="FFF8696B"/>
        <color rgb="FFFCFCFF"/>
        <color rgb="FF63BE7B"/>
      </colorScale>
    </cfRule>
  </conditionalFormatting>
  <conditionalFormatting sqref="U9:W15">
    <cfRule type="containsBlanks" priority="7" dxfId="0">
      <formula>LEN(TRIM(U9))=0</formula>
    </cfRule>
    <cfRule type="colorScale" priority="8">
      <colorScale>
        <cfvo type="num" val="-2"/>
        <cfvo type="num" val="0"/>
        <cfvo type="num" val="2"/>
        <color rgb="FFF8696B"/>
        <color rgb="FFFCFCFF"/>
        <color rgb="FF63BE7B"/>
      </colorScale>
    </cfRule>
  </conditionalFormatting>
  <conditionalFormatting sqref="Y9:AA15">
    <cfRule type="containsBlanks" priority="5" dxfId="0">
      <formula>LEN(TRIM(Y9))=0</formula>
    </cfRule>
    <cfRule type="colorScale" priority="6">
      <colorScale>
        <cfvo type="num" val="-2"/>
        <cfvo type="num" val="0"/>
        <cfvo type="num" val="2"/>
        <color rgb="FFF8696B"/>
        <color rgb="FFFCFCFF"/>
        <color rgb="FF63BE7B"/>
      </colorScale>
    </cfRule>
  </conditionalFormatting>
  <conditionalFormatting sqref="P9:P15">
    <cfRule type="containsBlanks" priority="3" dxfId="0">
      <formula>LEN(TRIM(P9))=0</formula>
    </cfRule>
    <cfRule type="colorScale" priority="4">
      <colorScale>
        <cfvo type="num" val="-2"/>
        <cfvo type="num" val="0"/>
        <cfvo type="num" val="2"/>
        <color rgb="FFF8696B"/>
        <color rgb="FFFCFCFF"/>
        <color rgb="FF63BE7B"/>
      </colorScale>
    </cfRule>
  </conditionalFormatting>
  <conditionalFormatting sqref="X9:X15">
    <cfRule type="containsBlanks" priority="1" dxfId="0">
      <formula>LEN(TRIM(X9))=0</formula>
    </cfRule>
    <cfRule type="colorScale" priority="2">
      <colorScale>
        <cfvo type="num" val="-2"/>
        <cfvo type="num" val="0"/>
        <cfvo type="num" val="2"/>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sheetPr codeName="Sheet5">
    <outlinePr summaryBelow="1" summaryRight="1"/>
    <pageSetUpPr/>
  </sheetPr>
  <dimension ref="B2:I37"/>
  <sheetViews>
    <sheetView showGridLines="0" showRowColHeaders="0" topLeftCell="A16" zoomScaleNormal="100" workbookViewId="0">
      <selection activeCell="E35" sqref="E35"/>
    </sheetView>
  </sheetViews>
  <sheetFormatPr baseColWidth="8" defaultColWidth="0" defaultRowHeight="14.5" zeroHeight="1"/>
  <cols>
    <col width="8.7265625" customWidth="1" min="1" max="1"/>
    <col width="21.7265625" customWidth="1" min="2" max="2"/>
    <col width="20.54296875" customWidth="1" min="3" max="3"/>
    <col width="24.7265625" customWidth="1" min="4" max="4"/>
    <col width="23.1796875" customWidth="1" min="5" max="5"/>
    <col width="21.7265625" customWidth="1" min="6" max="6"/>
    <col width="21.54296875" customWidth="1" min="7" max="7"/>
    <col width="17" customWidth="1" min="8" max="9"/>
    <col width="8.7265625" customWidth="1" min="10" max="10"/>
    <col hidden="1" width="8.7265625" customWidth="1" min="11" max="16384"/>
  </cols>
  <sheetData>
    <row r="2" ht="20.5" customHeight="1">
      <c r="B2" s="67" t="inlineStr">
        <is>
          <t>Step 4: Results and Price Recommendation</t>
        </is>
      </c>
    </row>
    <row r="3" ht="15" customHeight="1" thickBot="1"/>
    <row r="4" ht="15" customHeight="1" thickBot="1">
      <c r="B4" s="41" t="inlineStr">
        <is>
          <t>Market:</t>
        </is>
      </c>
      <c r="C4" s="42">
        <f>'Step 1 VD Relevance'!D4</f>
        <v/>
      </c>
      <c r="E4" s="41" t="inlineStr">
        <is>
          <t>Current market leader:</t>
        </is>
      </c>
      <c r="F4" s="42">
        <f>INDEX('Step 2 competition'!$B$29:$B$33, MATCH(MAX('Step 2 competition'!$C$29:$C$33), 'Step 2 competition'!$C$29:$C$33, 0))</f>
        <v/>
      </c>
    </row>
    <row r="5" ht="15" customHeight="1" thickBot="1">
      <c r="B5" s="41" t="inlineStr">
        <is>
          <t>2024 revenue (USD):</t>
        </is>
      </c>
      <c r="C5" s="43">
        <f>_xlfn.XLOOKUP(C4,'2024 Revenue'!$A$2:$A$175,'2024 Revenue'!$B$2:$B$175,"",0)</f>
        <v/>
      </c>
      <c r="E5" s="41" t="inlineStr">
        <is>
          <t>Current Credly market share</t>
        </is>
      </c>
      <c r="F5" s="44">
        <f>'Step 2 competition'!C29</f>
        <v/>
      </c>
    </row>
    <row r="9">
      <c r="C9" s="81">
        <f>'Step 2 competition'!C14</f>
        <v/>
      </c>
    </row>
    <row r="10">
      <c r="C10" s="81">
        <f>Calculations!B51</f>
        <v/>
      </c>
    </row>
    <row r="11">
      <c r="C11" s="81">
        <f>Calculations!B54</f>
        <v/>
      </c>
    </row>
    <row r="12">
      <c r="C12" s="81">
        <f>Calculations!B56</f>
        <v/>
      </c>
    </row>
    <row r="13">
      <c r="C13" s="81">
        <f>Calculations!B58</f>
        <v/>
      </c>
    </row>
    <row r="31">
      <c r="B31" s="5" t="inlineStr">
        <is>
          <t>Competitor</t>
        </is>
      </c>
      <c r="C31" s="5">
        <f>IF(Calculations!D26&lt;&gt;"",Calculations!D26,"")</f>
        <v/>
      </c>
      <c r="D31" s="5">
        <f>IF(Calculations!E26&lt;&gt;"",Calculations!E26,"")</f>
        <v/>
      </c>
      <c r="E31" s="5">
        <f>IF(Calculations!F26&lt;&gt;"",Calculations!F26,"")</f>
        <v/>
      </c>
      <c r="F31" s="5">
        <f>IF(Calculations!G26&lt;&gt;"",Calculations!G26,"")</f>
        <v/>
      </c>
      <c r="G31" s="5">
        <f>IF(Calculations!H26&lt;&gt;"",Calculations!H26,"")</f>
        <v/>
      </c>
      <c r="H31" s="82" t="n"/>
    </row>
    <row r="32">
      <c r="B32" s="26" t="inlineStr">
        <is>
          <t>Value Score</t>
        </is>
      </c>
      <c r="C32" s="77">
        <f>IF(C31&lt;&gt;"",_xlfn.XLOOKUP(C31,Calculations!$D$13:$I$13,Calculations!$D$23:$I$23,"",0),"")</f>
        <v/>
      </c>
      <c r="D32" s="77">
        <f>IF(D31&lt;&gt;"",_xlfn.XLOOKUP(D31,Calculations!$D$13:$I$13,Calculations!$D$23:$I$23,"",0),"")</f>
        <v/>
      </c>
      <c r="E32" s="77">
        <f>IF(E31&lt;&gt;"",_xlfn.XLOOKUP(E31,Calculations!$D$13:$I$13,Calculations!$D$23:$I$23,"",0),"")</f>
        <v/>
      </c>
      <c r="F32" s="77">
        <f>IF(F31&lt;&gt;"",_xlfn.XLOOKUP(F31,Calculations!$D$13:$I$13,Calculations!$D$23:$I$23,"",0),"")</f>
        <v/>
      </c>
      <c r="G32" s="77">
        <f>IF(G31&lt;&gt;"",_xlfn.XLOOKUP(G31,Calculations!$D$13:$I$13,Calculations!$D$23:$I$23,"",0),"")</f>
        <v/>
      </c>
      <c r="H32" s="83" t="n"/>
    </row>
    <row r="33">
      <c r="B33" s="26" t="inlineStr">
        <is>
          <t>Price</t>
        </is>
      </c>
      <c r="C33" s="59">
        <f>IF(C31&lt;&gt;"",_xlfn.XLOOKUP('Step 4 Results'!C31,Calculations!$D$26:$I$26,Calculations!$D$27:$I$27,"",0),"")</f>
        <v/>
      </c>
      <c r="D33" s="59">
        <f>IF(D31&lt;&gt;"",_xlfn.XLOOKUP('Step 4 Results'!D31,Calculations!$D$26:$I$26,Calculations!$D$27:$I$27,"",0),"")</f>
        <v/>
      </c>
      <c r="E33" s="59">
        <f>IF(E31&lt;&gt;"",_xlfn.XLOOKUP('Step 4 Results'!E31,Calculations!$D$26:$I$26,Calculations!$D$27:$I$27,"",0),"")</f>
        <v/>
      </c>
      <c r="F33" s="59">
        <f>IF(F31&lt;&gt;"",_xlfn.XLOOKUP('Step 4 Results'!F31,Calculations!$D$26:$I$26,Calculations!$D$27:$I$27,"",0),"")</f>
        <v/>
      </c>
      <c r="G33" s="59">
        <f>IF(G31&lt;&gt;"",_xlfn.XLOOKUP('Step 4 Results'!G31,Calculations!$D$26:$I$26,Calculations!$D$27:$I$27,"",0),"")</f>
        <v/>
      </c>
      <c r="H33" s="84" t="n"/>
    </row>
    <row r="34">
      <c r="B34" s="26" t="inlineStr">
        <is>
          <t>Price per Value</t>
        </is>
      </c>
      <c r="C34" s="77">
        <f>IF(C31&lt;&gt;"",_xlfn.XLOOKUP('Step 4 Results'!C31,Calculations!$C$31:$C$36,Calculations!$H$31:$H$36,"",0),"")</f>
        <v/>
      </c>
      <c r="D34" s="77">
        <f>IF(D31&lt;&gt;"",_xlfn.XLOOKUP('Step 4 Results'!D31,Calculations!$C$31:$C$36,Calculations!$H$31:$H$36,"",0),"")</f>
        <v/>
      </c>
      <c r="E34" s="77">
        <f>IF(E31&lt;&gt;"",_xlfn.XLOOKUP('Step 4 Results'!E31,Calculations!$C$31:$C$36,Calculations!$H$31:$H$36,"",0),"")</f>
        <v/>
      </c>
      <c r="F34" s="77">
        <f>IF(F31&lt;&gt;"",_xlfn.XLOOKUP('Step 4 Results'!F31,Calculations!$C$31:$C$36,Calculations!$H$31:$H$36,"",0),"")</f>
        <v/>
      </c>
      <c r="G34" s="77">
        <f>IF(G31&lt;&gt;"",_xlfn.XLOOKUP('Step 4 Results'!G31,Calculations!$C$31:$C$36,Calculations!$H$31:$H$36,"",0),"")</f>
        <v/>
      </c>
      <c r="H34" s="83" t="n"/>
    </row>
    <row r="36" ht="15" customHeight="1" thickBot="1"/>
    <row r="37" ht="19" customHeight="1" thickBot="1">
      <c r="B37" s="36" t="inlineStr">
        <is>
          <t>Recommended Price range</t>
        </is>
      </c>
      <c r="C37" s="37" t="n"/>
      <c r="D37" s="38" t="n"/>
      <c r="E37" s="39" t="inlineStr">
        <is>
          <t>USD</t>
        </is>
      </c>
      <c r="F37" s="40">
        <f>Calculations!B54</f>
        <v/>
      </c>
    </row>
  </sheetData>
  <mergeCells count="1">
    <mergeCell ref="B2:I2"/>
  </mergeCells>
  <conditionalFormatting sqref="C31:H34">
    <cfRule type="containsBlanks" priority="4" dxfId="2">
      <formula>LEN(TRIM(C31))=0</formula>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codeName="Sheet6">
    <outlinePr summaryBelow="1" summaryRight="1"/>
    <pageSetUpPr/>
  </sheetPr>
  <dimension ref="B1:R65"/>
  <sheetViews>
    <sheetView topLeftCell="A7" zoomScale="85" zoomScaleNormal="85" workbookViewId="0">
      <selection activeCell="E6" sqref="E6"/>
    </sheetView>
  </sheetViews>
  <sheetFormatPr baseColWidth="8" defaultRowHeight="14.5"/>
  <cols>
    <col width="14.453125" customWidth="1" min="2" max="12"/>
  </cols>
  <sheetData>
    <row r="1">
      <c r="B1" s="13" t="inlineStr">
        <is>
          <t>Results</t>
        </is>
      </c>
    </row>
    <row r="2">
      <c r="B2" s="14">
        <f>'Step 3 Value assessment'!B8</f>
        <v/>
      </c>
      <c r="C2" s="14">
        <f>'Step 3 Value assessment'!C8</f>
        <v/>
      </c>
      <c r="D2" s="14">
        <f>'Step 3 Value assessment'!D8</f>
        <v/>
      </c>
      <c r="E2" s="14">
        <f>'Step 3 Value assessment'!E8</f>
        <v/>
      </c>
      <c r="F2" s="14">
        <f>'Step 3 Value assessment'!F8</f>
        <v/>
      </c>
      <c r="G2" s="14">
        <f>'Step 3 Value assessment'!G8</f>
        <v/>
      </c>
      <c r="H2" s="14">
        <f>'Step 3 Value assessment'!H8</f>
        <v/>
      </c>
      <c r="I2" s="85" t="n"/>
    </row>
    <row r="3">
      <c r="B3" s="75">
        <f>'Step 3 Value assessment'!B9</f>
        <v/>
      </c>
      <c r="C3" s="75">
        <f>'Step 3 Value assessment'!C9</f>
        <v/>
      </c>
      <c r="D3" s="75">
        <f>'Step 3 Value assessment'!D9</f>
        <v/>
      </c>
      <c r="E3" s="75">
        <f>'Step 3 Value assessment'!E9</f>
        <v/>
      </c>
      <c r="F3" s="75">
        <f>'Step 3 Value assessment'!F9</f>
        <v/>
      </c>
      <c r="G3" s="75">
        <f>'Step 3 Value assessment'!G9</f>
        <v/>
      </c>
      <c r="H3" s="75">
        <f>'Step 3 Value assessment'!H9</f>
        <v/>
      </c>
      <c r="I3" s="86" t="n"/>
    </row>
    <row r="4">
      <c r="B4" s="75">
        <f>'Step 3 Value assessment'!B10</f>
        <v/>
      </c>
      <c r="C4" s="75">
        <f>'Step 3 Value assessment'!C10</f>
        <v/>
      </c>
      <c r="D4" s="75">
        <f>'Step 3 Value assessment'!D10</f>
        <v/>
      </c>
      <c r="E4" s="75">
        <f>'Step 3 Value assessment'!E10</f>
        <v/>
      </c>
      <c r="F4" s="75">
        <f>'Step 3 Value assessment'!F10</f>
        <v/>
      </c>
      <c r="G4" s="75">
        <f>'Step 3 Value assessment'!G10</f>
        <v/>
      </c>
      <c r="H4" s="75">
        <f>'Step 3 Value assessment'!H10</f>
        <v/>
      </c>
      <c r="I4" s="86" t="n"/>
    </row>
    <row r="5">
      <c r="B5" s="75">
        <f>'Step 3 Value assessment'!B11</f>
        <v/>
      </c>
      <c r="C5" s="75">
        <f>'Step 3 Value assessment'!C11</f>
        <v/>
      </c>
      <c r="D5" s="75">
        <f>'Step 3 Value assessment'!D11</f>
        <v/>
      </c>
      <c r="E5" s="75">
        <f>'Step 3 Value assessment'!E11</f>
        <v/>
      </c>
      <c r="F5" s="75">
        <f>'Step 3 Value assessment'!F11</f>
        <v/>
      </c>
      <c r="G5" s="75">
        <f>'Step 3 Value assessment'!G11</f>
        <v/>
      </c>
      <c r="H5" s="75">
        <f>'Step 3 Value assessment'!H11</f>
        <v/>
      </c>
      <c r="I5" s="86" t="n"/>
    </row>
    <row r="6">
      <c r="B6" s="75">
        <f>'Step 3 Value assessment'!B12</f>
        <v/>
      </c>
      <c r="C6" s="75">
        <f>'Step 3 Value assessment'!C12</f>
        <v/>
      </c>
      <c r="D6" s="75">
        <f>'Step 3 Value assessment'!D12</f>
        <v/>
      </c>
      <c r="E6" s="75">
        <f>'Step 3 Value assessment'!E12</f>
        <v/>
      </c>
      <c r="F6" s="75">
        <f>'Step 3 Value assessment'!F12</f>
        <v/>
      </c>
      <c r="G6" s="75">
        <f>'Step 3 Value assessment'!G12</f>
        <v/>
      </c>
      <c r="H6" s="75">
        <f>'Step 3 Value assessment'!H12</f>
        <v/>
      </c>
      <c r="I6" s="86" t="n"/>
    </row>
    <row r="7">
      <c r="B7" s="75">
        <f>'Step 3 Value assessment'!B13</f>
        <v/>
      </c>
      <c r="C7" s="75">
        <f>'Step 3 Value assessment'!C13</f>
        <v/>
      </c>
      <c r="D7" s="75">
        <f>'Step 3 Value assessment'!D13</f>
        <v/>
      </c>
      <c r="E7" s="75">
        <f>'Step 3 Value assessment'!E13</f>
        <v/>
      </c>
      <c r="F7" s="75">
        <f>'Step 3 Value assessment'!F13</f>
        <v/>
      </c>
      <c r="G7" s="75">
        <f>'Step 3 Value assessment'!G13</f>
        <v/>
      </c>
      <c r="H7" s="75">
        <f>'Step 3 Value assessment'!H13</f>
        <v/>
      </c>
      <c r="I7" s="86" t="n"/>
    </row>
    <row r="8">
      <c r="B8" s="75">
        <f>'Step 3 Value assessment'!B14</f>
        <v/>
      </c>
      <c r="C8" s="75">
        <f>'Step 3 Value assessment'!C14</f>
        <v/>
      </c>
      <c r="D8" s="75">
        <f>'Step 3 Value assessment'!D14</f>
        <v/>
      </c>
      <c r="E8" s="75">
        <f>'Step 3 Value assessment'!E14</f>
        <v/>
      </c>
      <c r="F8" s="75">
        <f>'Step 3 Value assessment'!F14</f>
        <v/>
      </c>
      <c r="G8" s="75">
        <f>'Step 3 Value assessment'!G14</f>
        <v/>
      </c>
      <c r="H8" s="75">
        <f>'Step 3 Value assessment'!H14</f>
        <v/>
      </c>
      <c r="I8" s="86" t="n"/>
    </row>
    <row r="9">
      <c r="B9" s="75">
        <f>'Step 3 Value assessment'!B15</f>
        <v/>
      </c>
      <c r="C9" s="75">
        <f>'Step 3 Value assessment'!C15</f>
        <v/>
      </c>
      <c r="D9" s="75">
        <f>'Step 3 Value assessment'!D15</f>
        <v/>
      </c>
      <c r="E9" s="75">
        <f>'Step 3 Value assessment'!E15</f>
        <v/>
      </c>
      <c r="F9" s="75">
        <f>'Step 3 Value assessment'!F15</f>
        <v/>
      </c>
      <c r="G9" s="75">
        <f>'Step 3 Value assessment'!G15</f>
        <v/>
      </c>
      <c r="H9" s="75">
        <f>'Step 3 Value assessment'!H15</f>
        <v/>
      </c>
      <c r="I9" s="86" t="n"/>
    </row>
    <row r="10">
      <c r="B10" s="75">
        <f>'Step 3 Value assessment'!B16</f>
        <v/>
      </c>
      <c r="C10" s="75">
        <f>'Step 3 Value assessment'!C16</f>
        <v/>
      </c>
      <c r="D10" s="75">
        <f>'Step 3 Value assessment'!D16</f>
        <v/>
      </c>
      <c r="E10" s="75">
        <f>'Step 3 Value assessment'!E16</f>
        <v/>
      </c>
      <c r="F10" s="75">
        <f>'Step 3 Value assessment'!F16</f>
        <v/>
      </c>
      <c r="G10" s="75">
        <f>'Step 3 Value assessment'!G16</f>
        <v/>
      </c>
      <c r="H10" s="75">
        <f>'Step 3 Value assessment'!H16</f>
        <v/>
      </c>
      <c r="I10" s="86" t="n"/>
    </row>
    <row r="12">
      <c r="B12" s="13" t="inlineStr">
        <is>
          <t>Scoring</t>
        </is>
      </c>
    </row>
    <row r="13">
      <c r="B13" s="14" t="inlineStr">
        <is>
          <t>Rank</t>
        </is>
      </c>
      <c r="C13" s="14" t="inlineStr">
        <is>
          <t>Percentage</t>
        </is>
      </c>
      <c r="D13" s="14">
        <f>D2</f>
        <v/>
      </c>
      <c r="E13" s="14">
        <f>E2</f>
        <v/>
      </c>
      <c r="F13" s="14">
        <f>F2</f>
        <v/>
      </c>
      <c r="G13" s="14">
        <f>G2</f>
        <v/>
      </c>
      <c r="H13" s="14">
        <f>H2</f>
        <v/>
      </c>
      <c r="I13" s="85" t="n"/>
    </row>
    <row r="14">
      <c r="B14" s="75" t="n">
        <v>1</v>
      </c>
      <c r="C14" s="15" t="n">
        <v>0.195</v>
      </c>
      <c r="D14" s="75">
        <f>D3*$C14</f>
        <v/>
      </c>
      <c r="E14" s="75">
        <f>E3*$C14</f>
        <v/>
      </c>
      <c r="F14" s="75">
        <f>F3*$C14</f>
        <v/>
      </c>
      <c r="G14" s="75">
        <f>G3*$C14</f>
        <v/>
      </c>
      <c r="H14" s="75">
        <f>H3*$C14</f>
        <v/>
      </c>
      <c r="I14" s="86" t="n"/>
    </row>
    <row r="15">
      <c r="B15" s="75" t="n">
        <v>2</v>
      </c>
      <c r="C15" s="15" t="n">
        <v>0.175</v>
      </c>
      <c r="D15" s="75">
        <f>D4*$C15</f>
        <v/>
      </c>
      <c r="E15" s="75">
        <f>E4*$C15</f>
        <v/>
      </c>
      <c r="F15" s="75">
        <f>F4*$C15</f>
        <v/>
      </c>
      <c r="G15" s="75">
        <f>G4*$C15</f>
        <v/>
      </c>
      <c r="H15" s="75">
        <f>H4*$C15</f>
        <v/>
      </c>
      <c r="I15" s="86" t="n"/>
    </row>
    <row r="16">
      <c r="B16" s="75" t="n">
        <v>3</v>
      </c>
      <c r="C16" s="15" t="n">
        <v>0.155</v>
      </c>
      <c r="D16" s="75">
        <f>D5*$C16</f>
        <v/>
      </c>
      <c r="E16" s="75">
        <f>E5*$C16</f>
        <v/>
      </c>
      <c r="F16" s="75">
        <f>F5*$C16</f>
        <v/>
      </c>
      <c r="G16" s="75">
        <f>G5*$C16</f>
        <v/>
      </c>
      <c r="H16" s="75">
        <f>H5*$C16</f>
        <v/>
      </c>
      <c r="I16" s="86" t="n"/>
    </row>
    <row r="17">
      <c r="B17" s="75" t="n">
        <v>4</v>
      </c>
      <c r="C17" s="15" t="n">
        <v>0.135</v>
      </c>
      <c r="D17" s="75">
        <f>D6*$C17</f>
        <v/>
      </c>
      <c r="E17" s="75">
        <f>E6*$C17</f>
        <v/>
      </c>
      <c r="F17" s="75">
        <f>F6*$C17</f>
        <v/>
      </c>
      <c r="G17" s="75">
        <f>G6*$C17</f>
        <v/>
      </c>
      <c r="H17" s="75">
        <f>H6*$C17</f>
        <v/>
      </c>
      <c r="I17" s="86" t="n"/>
    </row>
    <row r="18">
      <c r="B18" s="75" t="n">
        <v>5</v>
      </c>
      <c r="C18" s="15" t="n">
        <v>0.115</v>
      </c>
      <c r="D18" s="75">
        <f>D7*$C18</f>
        <v/>
      </c>
      <c r="E18" s="75">
        <f>E7*$C18</f>
        <v/>
      </c>
      <c r="F18" s="75">
        <f>F7*$C18</f>
        <v/>
      </c>
      <c r="G18" s="75">
        <f>G7*$C18</f>
        <v/>
      </c>
      <c r="H18" s="75">
        <f>H7*$C18</f>
        <v/>
      </c>
      <c r="I18" s="86" t="n"/>
    </row>
    <row r="19">
      <c r="B19" s="75" t="n">
        <v>6</v>
      </c>
      <c r="C19" s="15" t="n">
        <v>0.095</v>
      </c>
      <c r="D19" s="75">
        <f>D8*$C19</f>
        <v/>
      </c>
      <c r="E19" s="75">
        <f>E8*$C19</f>
        <v/>
      </c>
      <c r="F19" s="75">
        <f>F8*$C19</f>
        <v/>
      </c>
      <c r="G19" s="75">
        <f>G8*$C19</f>
        <v/>
      </c>
      <c r="H19" s="75">
        <f>H8*$C19</f>
        <v/>
      </c>
      <c r="I19" s="86" t="n"/>
    </row>
    <row r="20">
      <c r="B20" s="75" t="n">
        <v>7</v>
      </c>
      <c r="C20" s="15" t="n">
        <v>0.075</v>
      </c>
      <c r="D20" s="75">
        <f>D9*$C20</f>
        <v/>
      </c>
      <c r="E20" s="75">
        <f>E9*$C20</f>
        <v/>
      </c>
      <c r="F20" s="75">
        <f>F9*$C20</f>
        <v/>
      </c>
      <c r="G20" s="75">
        <f>G9*$C20</f>
        <v/>
      </c>
      <c r="H20" s="75">
        <f>H9*$C20</f>
        <v/>
      </c>
      <c r="I20" s="86" t="n"/>
    </row>
    <row r="21" ht="15" customHeight="1" thickBot="1">
      <c r="B21" s="20" t="n">
        <v>8</v>
      </c>
      <c r="C21" s="21" t="n">
        <v>0.055</v>
      </c>
      <c r="D21" s="20">
        <f>D10*$C21</f>
        <v/>
      </c>
      <c r="E21" s="20">
        <f>E10*$C21</f>
        <v/>
      </c>
      <c r="F21" s="20">
        <f>F10*$C21</f>
        <v/>
      </c>
      <c r="G21" s="20">
        <f>G10*$C21</f>
        <v/>
      </c>
      <c r="H21" s="20">
        <f>H10*$C21</f>
        <v/>
      </c>
      <c r="I21" s="87" t="n"/>
      <c r="K21" s="75" t="inlineStr">
        <is>
          <t>Min</t>
        </is>
      </c>
      <c r="L21" s="75" t="inlineStr">
        <is>
          <t>Max</t>
        </is>
      </c>
    </row>
    <row r="22" ht="15" customHeight="1" thickTop="1">
      <c r="B22" s="6" t="inlineStr">
        <is>
          <t>Total</t>
        </is>
      </c>
      <c r="C22" s="18">
        <f>SUM(C14:C21)</f>
        <v/>
      </c>
      <c r="D22" s="19">
        <f>IF(D13&lt;&gt;"",SUM(D14:D21),NA())</f>
        <v/>
      </c>
      <c r="E22" s="19">
        <f>IF(E13&lt;&gt;"",SUM(E14:E21),NA())</f>
        <v/>
      </c>
      <c r="F22" s="19">
        <f>IF(F13&lt;&gt;"",SUM(F14:F21),NA())</f>
        <v/>
      </c>
      <c r="G22" s="19">
        <f>IF(G13&lt;&gt;"",SUM(G14:G21),NA())</f>
        <v/>
      </c>
      <c r="H22" s="19">
        <f>IF(H13&lt;&gt;"",SUM(H14:H21),NA())</f>
        <v/>
      </c>
      <c r="I22" s="88" t="n"/>
      <c r="K22" s="75" t="n">
        <v>-2</v>
      </c>
      <c r="L22" s="75" t="n">
        <v>2</v>
      </c>
    </row>
    <row r="23">
      <c r="B23" s="75" t="inlineStr">
        <is>
          <t>Adj</t>
        </is>
      </c>
      <c r="C23" s="16" t="n"/>
      <c r="D23" s="17">
        <f>(D22+2)/4*100</f>
        <v/>
      </c>
      <c r="E23" s="17">
        <f>(E22+2)/4*100</f>
        <v/>
      </c>
      <c r="F23" s="17">
        <f>(F22+2)/4*100</f>
        <v/>
      </c>
      <c r="G23" s="17">
        <f>(G22+2)/4*100</f>
        <v/>
      </c>
      <c r="H23" s="17">
        <f>(H22+2)/4*100</f>
        <v/>
      </c>
      <c r="I23" s="89" t="n"/>
    </row>
    <row r="25">
      <c r="B25" s="13" t="inlineStr">
        <is>
          <t>Prices</t>
        </is>
      </c>
    </row>
    <row r="26">
      <c r="B26" s="75" t="n"/>
      <c r="C26" s="75" t="n"/>
      <c r="D26" s="14">
        <f>D2</f>
        <v/>
      </c>
      <c r="E26" s="14">
        <f>E2</f>
        <v/>
      </c>
      <c r="F26" s="14">
        <f>F2</f>
        <v/>
      </c>
      <c r="G26" s="14">
        <f>G2</f>
        <v/>
      </c>
      <c r="H26" s="14">
        <f>H2</f>
        <v/>
      </c>
      <c r="I26" s="14">
        <f>I2</f>
        <v/>
      </c>
      <c r="K26" s="75" t="inlineStr">
        <is>
          <t>Min</t>
        </is>
      </c>
      <c r="L26" s="75" t="inlineStr">
        <is>
          <t>Max</t>
        </is>
      </c>
    </row>
    <row r="27">
      <c r="B27" s="75" t="n"/>
      <c r="C27" s="14" t="inlineStr">
        <is>
          <t>Price</t>
        </is>
      </c>
      <c r="D27" s="86">
        <f>IF(D26&lt;&gt;"",IF('Step 2 competition'!$C$14&gt;0,'Step 2 competition'!C18/'Step 2 competition'!$C$14,""),"")</f>
        <v/>
      </c>
      <c r="E27" s="86">
        <f>IF(E26&lt;&gt;"",IF('Step 2 competition'!$C$14&gt;0,'Step 2 competition'!C19/'Step 2 competition'!$C$14,""),"")</f>
        <v/>
      </c>
      <c r="F27" s="86">
        <f>IF(F26&lt;&gt;"",IF('Step 2 competition'!$C$14&gt;0,'Step 2 competition'!C20/'Step 2 competition'!$C$14,""),"")</f>
        <v/>
      </c>
      <c r="G27" s="86">
        <f>IF(G26&lt;&gt;"",IF('Step 2 competition'!$C$14&gt;0,'Step 2 competition'!C21/'Step 2 competition'!$C$14,""),"")</f>
        <v/>
      </c>
      <c r="H27" s="86">
        <f>IF(H26&lt;&gt;"",IF('Step 2 competition'!$C$14&gt;0,'Step 2 competition'!C22/'Step 2 competition'!$C$14,""),"")</f>
        <v/>
      </c>
      <c r="I27" s="86">
        <f>IF(I26&lt;&gt;"",IF('Step 2 competition'!$C$14&gt;0,'Step 2 competition'!C23/'Step 2 competition'!$C$14,""),"")</f>
        <v/>
      </c>
      <c r="K27" s="86">
        <f>MIN($D$27:$I$27)</f>
        <v/>
      </c>
      <c r="L27" s="86">
        <f>MAX($D$27:$I$27)</f>
        <v/>
      </c>
    </row>
    <row r="30">
      <c r="B30" s="75" t="n"/>
      <c r="C30" s="14" t="inlineStr">
        <is>
          <t>Competitors</t>
        </is>
      </c>
      <c r="D30" s="14" t="inlineStr">
        <is>
          <t>Price</t>
        </is>
      </c>
      <c r="E30" s="14" t="inlineStr">
        <is>
          <t>Market share</t>
        </is>
      </c>
      <c r="F30" s="14" t="inlineStr">
        <is>
          <t>Value score</t>
        </is>
      </c>
      <c r="G30" s="14" t="inlineStr">
        <is>
          <t>Value score adj</t>
        </is>
      </c>
      <c r="H30" s="14" t="inlineStr">
        <is>
          <t>PPV</t>
        </is>
      </c>
      <c r="I30" s="14" t="inlineStr">
        <is>
          <t>Weigh PPV</t>
        </is>
      </c>
      <c r="J30" s="14" t="inlineStr">
        <is>
          <t>Calculated price</t>
        </is>
      </c>
    </row>
    <row r="31">
      <c r="B31" s="75" t="n">
        <v>1</v>
      </c>
      <c r="C31" s="75">
        <f>IF(D13&lt;&gt;"",D13,"")</f>
        <v/>
      </c>
      <c r="D31" s="86">
        <f>IF(_xlfn.XLOOKUP($C31,'Step 2 competition'!$B$18:$B$23,'Step 2 competition'!$C$18:$C$23,"",0)="","",IF('Step 2 competition'!$C$14&gt;0,_xlfn.XLOOKUP($C31,'Step 2 competition'!$B$18:$B$23,'Step 2 competition'!$C$18:$C$23,"",0)/'Step 2 competition'!$C$14,""))</f>
        <v/>
      </c>
      <c r="E31" s="57">
        <f>_xlfn.XLOOKUP($C31,'Step 2 competition'!$B$29:$B$34,'Step 2 competition'!$C$29:$C$34,"",0)</f>
        <v/>
      </c>
      <c r="F31" s="23">
        <f>IF(C31&lt;&gt;"",_xlfn.XLOOKUP(C31,$D$13:$I$13,$D$22:$I$22,"",0),"")</f>
        <v/>
      </c>
      <c r="G31" s="25">
        <f>IF(C31&lt;&gt;"",(F31+2)/4*100,"")</f>
        <v/>
      </c>
      <c r="H31" s="23">
        <f>IF(C31&lt;&gt;"",D31/G31,"")</f>
        <v/>
      </c>
      <c r="I31" s="25">
        <f>IF(C31&lt;&gt;"",H31*E31,"")</f>
        <v/>
      </c>
      <c r="J31" s="25">
        <f t="array" ref="J31">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
      </c>
    </row>
    <row r="32">
      <c r="B32" s="75" t="n">
        <v>2</v>
      </c>
      <c r="C32" s="75">
        <f>IF(E13&lt;&gt;"",E13,"")</f>
        <v/>
      </c>
      <c r="D32" s="86">
        <f>IF(_xlfn.XLOOKUP($C32,'Step 2 competition'!$B$18:$B$23,'Step 2 competition'!$C$18:$C$23,"",0)="","",IF('Step 2 competition'!$C$14&gt;0,_xlfn.XLOOKUP($C32,'Step 2 competition'!$B$18:$B$23,'Step 2 competition'!$C$18:$C$23,"",0)/'Step 2 competition'!$C$14,""))</f>
        <v/>
      </c>
      <c r="E32" s="57">
        <f>_xlfn.XLOOKUP($C32,'Step 2 competition'!$B$29:$B$34,'Step 2 competition'!$C$29:$C$34,"",0)</f>
        <v/>
      </c>
      <c r="F32" s="23">
        <f>IF(C32&lt;&gt;"",_xlfn.XLOOKUP(C32,$D$13:$I$13,$D$22:$I$22,"",0),"")</f>
        <v/>
      </c>
      <c r="G32" s="25">
        <f>IF(C32&lt;&gt;"",(F32+2)/4*100,"")</f>
        <v/>
      </c>
      <c r="H32" s="23">
        <f>IF(C32&lt;&gt;"",D32/G32,"")</f>
        <v/>
      </c>
      <c r="I32" s="25">
        <f>IF(C32&lt;&gt;"",H32*E32,"")</f>
        <v/>
      </c>
      <c r="J32" s="25">
        <f t="array" ref="J32">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
      </c>
    </row>
    <row r="33">
      <c r="B33" s="75" t="n">
        <v>3</v>
      </c>
      <c r="C33" s="75">
        <f>IF(F13&lt;&gt;"",F13,"")</f>
        <v/>
      </c>
      <c r="D33" s="86">
        <f>IF(_xlfn.XLOOKUP($C33,'Step 2 competition'!$B$18:$B$23,'Step 2 competition'!$C$18:$C$23,"",0)="","",IF('Step 2 competition'!$C$14&gt;0,_xlfn.XLOOKUP($C33,'Step 2 competition'!$B$18:$B$23,'Step 2 competition'!$C$18:$C$23,"",0)/'Step 2 competition'!$C$14,""))</f>
        <v/>
      </c>
      <c r="E33" s="57">
        <f>_xlfn.XLOOKUP($C33,'Step 2 competition'!$B$29:$B$34,'Step 2 competition'!$C$29:$C$34,"",0)</f>
        <v/>
      </c>
      <c r="F33" s="23">
        <f>IF(C33&lt;&gt;"",_xlfn.XLOOKUP(C33,$D$13:$I$13,$D$22:$I$22,"",0),"")</f>
        <v/>
      </c>
      <c r="G33" s="25">
        <f>IF(C33&lt;&gt;"",(F33+2)/4*100,"")</f>
        <v/>
      </c>
      <c r="H33" s="23">
        <f>IF(C33&lt;&gt;"",D33/G33,"")</f>
        <v/>
      </c>
      <c r="I33" s="25">
        <f>IF(C33&lt;&gt;"",H33*E33,"")</f>
        <v/>
      </c>
      <c r="J33" s="25">
        <f t="array" ref="J33">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
      </c>
    </row>
    <row r="34">
      <c r="B34" s="75" t="n">
        <v>4</v>
      </c>
      <c r="C34" s="75">
        <f>IF(G13&lt;&gt;"",G13,"")</f>
        <v/>
      </c>
      <c r="D34" s="86">
        <f>IF(_xlfn.XLOOKUP($C34,'Step 2 competition'!$B$18:$B$23,'Step 2 competition'!$C$18:$C$23,"",0)="","",IF('Step 2 competition'!$C$14&gt;0,_xlfn.XLOOKUP($C34,'Step 2 competition'!$B$18:$B$23,'Step 2 competition'!$C$18:$C$23,"",0)/'Step 2 competition'!$C$14,""))</f>
        <v/>
      </c>
      <c r="E34" s="57">
        <f>_xlfn.XLOOKUP($C34,'Step 2 competition'!$B$29:$B$34,'Step 2 competition'!$C$29:$C$34,"",0)</f>
        <v/>
      </c>
      <c r="F34" s="23">
        <f>IF(C34&lt;&gt;"",_xlfn.XLOOKUP(C34,$D$13:$I$13,$D$22:$I$22,"",0),"")</f>
        <v/>
      </c>
      <c r="G34" s="25">
        <f>IF(C34&lt;&gt;"",(F34+2)/4*100,"")</f>
        <v/>
      </c>
      <c r="H34" s="23">
        <f>IF(C34&lt;&gt;"",D34/G34,"")</f>
        <v/>
      </c>
      <c r="I34" s="25">
        <f>IF(C34&lt;&gt;"",H34*E34,"")</f>
        <v/>
      </c>
      <c r="J34" s="25">
        <f t="array" ref="J34">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
      </c>
    </row>
    <row r="35">
      <c r="B35" s="75" t="n">
        <v>5</v>
      </c>
      <c r="C35" s="75">
        <f>IF(H13&lt;&gt;"",H13,"")</f>
        <v/>
      </c>
      <c r="D35" s="86">
        <f>IF(_xlfn.XLOOKUP($C35,'Step 2 competition'!$B$18:$B$23,'Step 2 competition'!$C$18:$C$23,"",0)="","",IF('Step 2 competition'!$C$14&gt;0,_xlfn.XLOOKUP($C35,'Step 2 competition'!$B$18:$B$23,'Step 2 competition'!$C$18:$C$23,"",0)/'Step 2 competition'!$C$14,""))</f>
        <v/>
      </c>
      <c r="E35" s="57">
        <f>_xlfn.XLOOKUP($C35,'Step 2 competition'!$B$29:$B$34,'Step 2 competition'!$C$29:$C$34,"",0)</f>
        <v/>
      </c>
      <c r="F35" s="23">
        <f>IF(C35&lt;&gt;"",_xlfn.XLOOKUP(C35,$D$13:$I$13,$D$22:$I$22,"",0),"")</f>
        <v/>
      </c>
      <c r="G35" s="25">
        <f>IF(C35&lt;&gt;"",(F35+2)/4*100,"")</f>
        <v/>
      </c>
      <c r="H35" s="23">
        <f>IF(C35&lt;&gt;"",D35/G35,"")</f>
        <v/>
      </c>
      <c r="I35" s="25">
        <f>IF(C35&lt;&gt;"",H35*E35,"")</f>
        <v/>
      </c>
      <c r="J35" s="25">
        <f t="array" ref="J35">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
      </c>
    </row>
    <row r="36">
      <c r="B36" s="75" t="n">
        <v>6</v>
      </c>
      <c r="C36" s="75">
        <f>IF(I13&lt;&gt;"",I13,"")</f>
        <v/>
      </c>
      <c r="D36" s="86">
        <f>IF(_xlfn.XLOOKUP($C36,'Step 2 competition'!$B$18:$B$23,'Step 2 competition'!$C$18:$C$23,"",0)="","",IF('Step 2 competition'!$C$14&gt;0,_xlfn.XLOOKUP($C36,'Step 2 competition'!$B$18:$B$23,'Step 2 competition'!$C$18:$C$23,"",0)/'Step 2 competition'!$C$14,""))</f>
        <v/>
      </c>
      <c r="E36" s="57">
        <f>IF(_xlfn.XLOOKUP($C36,'Step 2 competition'!$B$29:$B$34,'Step 2 competition'!$C$29:$C$34,"",0)=0,"",_xlfn.XLOOKUP($C36,'Step 2 competition'!$B$29:$B$34,'Step 2 competition'!$C$29:$C$34,"",0))</f>
        <v/>
      </c>
      <c r="F36" s="23">
        <f>IF(C36&lt;&gt;"",_xlfn.XLOOKUP(C36,$D$13:$I$13,$D$22:$I$22,"",0),"")</f>
        <v/>
      </c>
      <c r="G36" s="25">
        <f>IF(C36&lt;&gt;"",(F36+2)/4*100,"")</f>
        <v/>
      </c>
      <c r="H36" s="23">
        <f>IF(C36&lt;&gt;"",D36/G36,"")</f>
        <v/>
      </c>
      <c r="I36" s="25">
        <f>IF(C36&lt;&gt;"",H36*E36,"")</f>
        <v/>
      </c>
      <c r="J36" s="25">
        <f t="array" ref="J36">_xlfn.LET(
  _xlpm.p, $D$31:$D$36,
  _xlpm.s, $E$31:$E$36,
  _xlpm.v, $G$31:$G$36,
  _xlpm.sdec, IF(MAX(_xlpm.s)&gt;1, _xlpm.s/100, _xlpm.s),
  _xlpm.wsum, SUM(_xlpm.sdec),
  _xlpm.marketP, IF(_xlpm.wsum=0, NA(), SUMPRODUCT(_xlpm.p, _xlpm.sdec)/_xlpm.wsum),
  _xlpm.marketV, IF(_xlpm.wsum=0, NA(), SUMPRODUCT(_xlpm.v, _xlpm.sdec)/_xlpm.wsum),
  _xlpm.floorPct, $B$45,
  _xlpm.pmax, MAX(_xlpm.p),
  _xlpm.floorP, _xlpm.floorPct * _xlpm.pmax,
  _xlpm.slope, IF(_xlpm.marketV=0, NA(), (_xlpm.marketP - _xlpm.floorP) / _xlpm.marketV),
  _xlpm.floorP + _xlpm.slope * INDEX(_xlpm.v, ROW()-30)
)</f>
        <v/>
      </c>
    </row>
    <row r="38">
      <c r="B38" s="13" t="inlineStr">
        <is>
          <t>Market-weighted average price</t>
        </is>
      </c>
      <c r="D38" s="13" t="inlineStr">
        <is>
          <t>Market-weighted average value</t>
        </is>
      </c>
    </row>
    <row r="39">
      <c r="B39" s="22">
        <f>SUMPRODUCT(D31:D36,E31:E36)/SUM(E31:E36)</f>
        <v/>
      </c>
      <c r="D39" s="22">
        <f>SUMPRODUCT(E31:E36,G31:G36)/SUM(E31:E36)</f>
        <v/>
      </c>
    </row>
    <row r="40">
      <c r="F40" s="13" t="inlineStr">
        <is>
          <t>Anchor line</t>
        </is>
      </c>
    </row>
    <row r="41">
      <c r="B41" s="13" t="inlineStr">
        <is>
          <t>Min value</t>
        </is>
      </c>
      <c r="C41" s="13" t="inlineStr">
        <is>
          <t>Max value</t>
        </is>
      </c>
      <c r="D41" s="13" t="inlineStr">
        <is>
          <t>Value range</t>
        </is>
      </c>
      <c r="F41" s="13" t="inlineStr">
        <is>
          <t>Min</t>
        </is>
      </c>
      <c r="G41" s="13" t="inlineStr">
        <is>
          <t>Mid</t>
        </is>
      </c>
      <c r="J41" s="90">
        <f>F42</f>
        <v/>
      </c>
      <c r="K41" s="91">
        <f>G42</f>
        <v/>
      </c>
    </row>
    <row r="42">
      <c r="B42" s="55">
        <f>MIN(G32:G36)</f>
        <v/>
      </c>
      <c r="C42" s="55">
        <f>MAX(G32:G36)</f>
        <v/>
      </c>
      <c r="D42" s="55">
        <f>C42-B42</f>
        <v/>
      </c>
      <c r="F42" s="81">
        <f>MIN($F$31:$F$36)</f>
        <v/>
      </c>
      <c r="G42" s="92">
        <f>MIN($D$31:$D$36)</f>
        <v/>
      </c>
      <c r="J42" s="90">
        <f>F43</f>
        <v/>
      </c>
      <c r="K42" s="91">
        <f>G43</f>
        <v/>
      </c>
    </row>
    <row r="43">
      <c r="F43" s="81">
        <f>MAX($F$31:$F$36)</f>
        <v/>
      </c>
      <c r="G43" s="92">
        <f>MAX($D$31:$D$36)</f>
        <v/>
      </c>
      <c r="J43" s="60" t="n">
        <v>0</v>
      </c>
    </row>
    <row r="44">
      <c r="B44" s="13" t="inlineStr">
        <is>
          <t>Floor price level</t>
        </is>
      </c>
      <c r="C44" s="13" t="inlineStr">
        <is>
          <t>Floor price</t>
        </is>
      </c>
      <c r="D44" s="13" t="inlineStr">
        <is>
          <t>Max Price</t>
        </is>
      </c>
      <c r="J44" s="60" t="n">
        <v>0</v>
      </c>
    </row>
    <row r="45">
      <c r="B45" s="56" t="n">
        <v>0.7</v>
      </c>
      <c r="C45">
        <f>MAX(D32:D36)*B45</f>
        <v/>
      </c>
      <c r="D45">
        <f>MAX(D32:D36)</f>
        <v/>
      </c>
      <c r="J45" s="60" t="n">
        <v>0</v>
      </c>
    </row>
    <row r="46">
      <c r="J46" s="60" t="n">
        <v>0</v>
      </c>
    </row>
    <row r="47">
      <c r="B47" s="13" t="inlineStr">
        <is>
          <t>Recommended Price</t>
        </is>
      </c>
      <c r="D47" s="13" t="inlineStr">
        <is>
          <t>Price min</t>
        </is>
      </c>
      <c r="E47" s="13" t="inlineStr">
        <is>
          <t>Price max</t>
        </is>
      </c>
      <c r="J47" s="60" t="n">
        <v>0</v>
      </c>
    </row>
    <row r="48">
      <c r="B48" s="92">
        <f>IFERROR(B39*(G31/D39),B39)</f>
        <v/>
      </c>
      <c r="D48" s="92">
        <f>ROUND(MAX($C$45,MIN($D$45,$B$51-1)),0)</f>
        <v/>
      </c>
      <c r="E48" s="92">
        <f>ROUND(MAX($D$48,MIN($D$45,MAX($C$45,$B$51+1))),0)</f>
        <v/>
      </c>
      <c r="J48" s="60" t="n">
        <v>0</v>
      </c>
      <c r="M48" s="81">
        <f>$F$31-$N$47</f>
        <v/>
      </c>
      <c r="N48" s="81">
        <f>$F$31+$N$47</f>
        <v/>
      </c>
    </row>
    <row r="49">
      <c r="D49" s="58">
        <f>$F$31</f>
        <v/>
      </c>
      <c r="E49" s="58">
        <f>$F$31</f>
        <v/>
      </c>
      <c r="J49" s="60" t="n">
        <v>0</v>
      </c>
      <c r="M49" s="81">
        <f>$D$48</f>
        <v/>
      </c>
      <c r="N49" s="81">
        <f>$D$48</f>
        <v/>
      </c>
    </row>
    <row r="50">
      <c r="B50" s="13" t="inlineStr">
        <is>
          <t>Price rounded</t>
        </is>
      </c>
      <c r="J50" s="60" t="n">
        <v>0</v>
      </c>
      <c r="M50" s="81">
        <f>$F$31-$N$47</f>
        <v/>
      </c>
      <c r="N50" s="81">
        <f>$F$31+$N$47</f>
        <v/>
      </c>
    </row>
    <row r="51">
      <c r="B51" s="92">
        <f>ROUND(B48,0)</f>
        <v/>
      </c>
      <c r="M51" s="81">
        <f>$E$48</f>
        <v/>
      </c>
      <c r="N51" s="81">
        <f>$E$48</f>
        <v/>
      </c>
    </row>
    <row r="53">
      <c r="B53" s="13" t="inlineStr">
        <is>
          <t>Price range</t>
        </is>
      </c>
    </row>
    <row r="54">
      <c r="B54">
        <f>D48&amp;" - "&amp;E48</f>
        <v/>
      </c>
    </row>
    <row r="56">
      <c r="B56" s="81">
        <f>ROUND(B51*'Step 2 competition'!$C$14+'Step 2 competition'!$C$13,0)</f>
        <v/>
      </c>
    </row>
    <row r="58">
      <c r="B58" s="81">
        <f>ROUND(D48*'Step 2 competition'!$C$14+'Step 2 competition'!$C$13,0)&amp;" - "&amp;ROUND(E48*'Step 2 competition'!$C$14+'Step 2 competition'!$C$13,0)</f>
        <v/>
      </c>
      <c r="H58" t="inlineStr">
        <is>
          <t>Brand Awareness</t>
        </is>
      </c>
      <c r="I58" t="n">
        <v>1</v>
      </c>
      <c r="J58" t="n">
        <v>1</v>
      </c>
      <c r="K58" t="n">
        <v>1</v>
      </c>
      <c r="L58" t="n">
        <v>1</v>
      </c>
      <c r="M58" t="n">
        <v>1</v>
      </c>
      <c r="N58" t="n">
        <v>1</v>
      </c>
      <c r="O58" t="n">
        <v>1</v>
      </c>
      <c r="P58" t="n">
        <v>2</v>
      </c>
      <c r="Q58">
        <f>AVERAGE(I58:P58)</f>
        <v/>
      </c>
      <c r="R58">
        <f>RANK(Q58,$Q$58:$Q$64,1)</f>
        <v/>
      </c>
    </row>
    <row r="59">
      <c r="H59" t="inlineStr">
        <is>
          <t>Analytics</t>
        </is>
      </c>
      <c r="I59" t="n">
        <v>5</v>
      </c>
      <c r="J59" t="n">
        <v>3</v>
      </c>
      <c r="K59" t="n">
        <v>3</v>
      </c>
      <c r="L59" t="n">
        <v>5</v>
      </c>
      <c r="M59" t="n">
        <v>2</v>
      </c>
      <c r="N59" t="n">
        <v>5</v>
      </c>
      <c r="O59" t="n">
        <v>2</v>
      </c>
      <c r="P59" t="n">
        <v>3</v>
      </c>
      <c r="Q59">
        <f>AVERAGE(I59:P59)</f>
        <v/>
      </c>
      <c r="R59">
        <f>RANK(Q59,$Q$58:$Q$64,1)</f>
        <v/>
      </c>
    </row>
    <row r="60">
      <c r="H60" t="inlineStr">
        <is>
          <t>Ease of Use (Issuer)</t>
        </is>
      </c>
      <c r="I60" t="n">
        <v>5</v>
      </c>
      <c r="J60" t="n">
        <v>4</v>
      </c>
      <c r="K60" t="n">
        <v>6</v>
      </c>
      <c r="L60" t="n">
        <v>2</v>
      </c>
      <c r="M60" t="n">
        <v>4</v>
      </c>
      <c r="N60" t="n">
        <v>6</v>
      </c>
      <c r="O60" t="n">
        <v>2</v>
      </c>
      <c r="P60" t="n">
        <v>1</v>
      </c>
      <c r="Q60">
        <f>AVERAGE(I60:P60)</f>
        <v/>
      </c>
      <c r="R60">
        <f>RANK(Q60,$Q$58:$Q$64,1)</f>
        <v/>
      </c>
    </row>
    <row r="61">
      <c r="B61" s="81">
        <f>'Step 2 competition'!C18</f>
        <v/>
      </c>
      <c r="H61" t="inlineStr">
        <is>
          <t>Customer Support</t>
        </is>
      </c>
      <c r="I61" t="n">
        <v>6</v>
      </c>
      <c r="J61" t="n">
        <v>6</v>
      </c>
      <c r="K61" t="n">
        <v>2</v>
      </c>
      <c r="L61" t="n">
        <v>2</v>
      </c>
      <c r="M61" t="n">
        <v>6</v>
      </c>
      <c r="N61" t="n">
        <v>4</v>
      </c>
      <c r="O61" t="n">
        <v>4</v>
      </c>
      <c r="P61" t="n">
        <v>3</v>
      </c>
      <c r="Q61">
        <f>AVERAGE(I61:P61)</f>
        <v/>
      </c>
      <c r="R61">
        <f>RANK(Q61,$Q$58:$Q$64,1)</f>
        <v/>
      </c>
    </row>
    <row r="62">
      <c r="H62" t="inlineStr">
        <is>
          <t>Customization</t>
        </is>
      </c>
      <c r="I62" t="n">
        <v>4</v>
      </c>
      <c r="J62" t="n">
        <v>3</v>
      </c>
      <c r="K62" t="n">
        <v>5</v>
      </c>
      <c r="L62" t="n">
        <v>4</v>
      </c>
      <c r="M62" t="n">
        <v>7</v>
      </c>
      <c r="N62" t="n">
        <v>4</v>
      </c>
      <c r="O62" t="n">
        <v>2</v>
      </c>
      <c r="P62" t="n">
        <v>5</v>
      </c>
      <c r="Q62">
        <f>AVERAGE(I62:P62)</f>
        <v/>
      </c>
      <c r="R62">
        <f>RANK(Q62,$Q$58:$Q$64,1)</f>
        <v/>
      </c>
    </row>
    <row r="63">
      <c r="B63" s="81">
        <f>'Step 2 competition'!C18+'Step 2 competition'!C13</f>
        <v/>
      </c>
      <c r="H63" t="inlineStr">
        <is>
          <t>Ease of Use (Earner)</t>
        </is>
      </c>
      <c r="I63" t="n">
        <v>6</v>
      </c>
      <c r="J63" t="n">
        <v>4</v>
      </c>
      <c r="K63" t="n">
        <v>6</v>
      </c>
      <c r="L63" t="n">
        <v>5</v>
      </c>
      <c r="M63" t="n">
        <v>7</v>
      </c>
      <c r="N63" t="n">
        <v>3</v>
      </c>
      <c r="O63" t="n">
        <v>5</v>
      </c>
      <c r="P63" t="n">
        <v>3</v>
      </c>
      <c r="Q63">
        <f>AVERAGE(I63:P63)</f>
        <v/>
      </c>
      <c r="R63">
        <f>RANK(Q63,$Q$58:$Q$64,1)</f>
        <v/>
      </c>
    </row>
    <row r="64">
      <c r="H64" t="inlineStr">
        <is>
          <t>Security</t>
        </is>
      </c>
      <c r="I64" t="n">
        <v>7</v>
      </c>
      <c r="J64" t="n">
        <v>7</v>
      </c>
      <c r="K64" t="n">
        <v>7</v>
      </c>
      <c r="L64" t="n">
        <v>6</v>
      </c>
      <c r="M64" t="n">
        <v>7</v>
      </c>
      <c r="N64" t="n">
        <v>7</v>
      </c>
      <c r="O64" t="n">
        <v>3</v>
      </c>
      <c r="P64" t="n">
        <v>7</v>
      </c>
      <c r="Q64">
        <f>AVERAGE(I64:P64)</f>
        <v/>
      </c>
      <c r="R64">
        <f>RANK(Q64,$Q$58:$Q$64,1)</f>
        <v/>
      </c>
    </row>
    <row r="65">
      <c r="B65" s="81">
        <f>IF('Step 2 competition'!C14&gt;0,B63/'Step 2 competition'!C14,"")</f>
        <v/>
      </c>
    </row>
  </sheetData>
  <autoFilter ref="H57:R57">
    <sortState ref="H58:R64">
      <sortCondition ref="R57"/>
    </sortState>
  </autoFilter>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175"/>
  <sheetViews>
    <sheetView workbookViewId="0">
      <selection activeCell="A15" sqref="A15:A18"/>
    </sheetView>
  </sheetViews>
  <sheetFormatPr baseColWidth="8" defaultColWidth="8.453125" defaultRowHeight="14.5"/>
  <cols>
    <col width="40.453125" bestFit="1" customWidth="1" min="1" max="1"/>
    <col width="12.453125" bestFit="1" customWidth="1" style="12" min="2" max="2"/>
    <col width="8.81640625" bestFit="1" customWidth="1" min="3" max="3"/>
    <col width="39.1796875" bestFit="1" customWidth="1" min="6" max="6"/>
    <col width="12.453125" bestFit="1" customWidth="1" style="22" min="7" max="7"/>
    <col width="9.1796875" customWidth="1" min="8" max="12"/>
  </cols>
  <sheetData>
    <row r="1">
      <c r="A1" t="inlineStr">
        <is>
          <t>Country</t>
        </is>
      </c>
      <c r="B1" s="12" t="inlineStr">
        <is>
          <t>Revenue 2024</t>
        </is>
      </c>
      <c r="C1" t="inlineStr">
        <is>
          <t>Value driver analysis</t>
        </is>
      </c>
    </row>
    <row r="2">
      <c r="A2" t="inlineStr">
        <is>
          <t>Australia</t>
        </is>
      </c>
      <c r="B2" s="12" t="n">
        <v>89588268</v>
      </c>
      <c r="C2" t="inlineStr">
        <is>
          <t>X</t>
        </is>
      </c>
    </row>
    <row r="3">
      <c r="A3" t="inlineStr">
        <is>
          <t>China</t>
        </is>
      </c>
      <c r="B3" s="12" t="n">
        <v>27604029</v>
      </c>
      <c r="C3" t="inlineStr">
        <is>
          <t>X</t>
        </is>
      </c>
    </row>
    <row r="4">
      <c r="A4" t="inlineStr">
        <is>
          <t>India</t>
        </is>
      </c>
      <c r="B4" s="12" t="n">
        <v>24860878</v>
      </c>
      <c r="C4" t="inlineStr">
        <is>
          <t>X</t>
        </is>
      </c>
    </row>
    <row r="5">
      <c r="A5" t="inlineStr">
        <is>
          <t>Nepal</t>
        </is>
      </c>
      <c r="B5" s="12" t="n">
        <v>5970381</v>
      </c>
      <c r="C5" t="inlineStr">
        <is>
          <t>O</t>
        </is>
      </c>
    </row>
    <row r="6">
      <c r="A6" t="inlineStr">
        <is>
          <t>Canada</t>
        </is>
      </c>
      <c r="B6" s="12" t="n">
        <v>5626341</v>
      </c>
      <c r="C6" t="inlineStr">
        <is>
          <t>O</t>
        </is>
      </c>
    </row>
    <row r="7">
      <c r="A7" t="inlineStr">
        <is>
          <t>Pakistan</t>
        </is>
      </c>
      <c r="B7" s="12" t="n">
        <v>5595099</v>
      </c>
      <c r="C7" t="inlineStr">
        <is>
          <t>O</t>
        </is>
      </c>
    </row>
    <row r="8">
      <c r="A8" t="inlineStr">
        <is>
          <t>Philippines</t>
        </is>
      </c>
      <c r="B8" s="12" t="n">
        <v>4048257</v>
      </c>
      <c r="C8" t="inlineStr">
        <is>
          <t>X</t>
        </is>
      </c>
    </row>
    <row r="9">
      <c r="A9" t="inlineStr">
        <is>
          <t>United Kingdom</t>
        </is>
      </c>
      <c r="B9" s="12" t="n">
        <v>3765606</v>
      </c>
      <c r="C9" t="inlineStr">
        <is>
          <t>O</t>
        </is>
      </c>
    </row>
    <row r="10">
      <c r="A10" t="inlineStr">
        <is>
          <t>New Zealand</t>
        </is>
      </c>
      <c r="B10" s="12" t="n">
        <v>3452158</v>
      </c>
      <c r="C10" t="inlineStr">
        <is>
          <t>O</t>
        </is>
      </c>
    </row>
    <row r="11">
      <c r="A11" t="inlineStr">
        <is>
          <t>Sri Lanka</t>
        </is>
      </c>
      <c r="B11" s="12" t="n">
        <v>2873716</v>
      </c>
      <c r="C11" t="inlineStr">
        <is>
          <t>X</t>
        </is>
      </c>
    </row>
    <row r="12">
      <c r="A12" t="inlineStr">
        <is>
          <t>United Arab Emirates</t>
        </is>
      </c>
      <c r="B12" s="12" t="n">
        <v>2470242</v>
      </c>
      <c r="C12" t="inlineStr">
        <is>
          <t>X</t>
        </is>
      </c>
    </row>
    <row r="13">
      <c r="A13" t="inlineStr">
        <is>
          <t>Turkiye</t>
        </is>
      </c>
      <c r="B13" s="12" t="n">
        <v>2147990</v>
      </c>
      <c r="C13" t="inlineStr">
        <is>
          <t>X</t>
        </is>
      </c>
    </row>
    <row r="14">
      <c r="A14" t="inlineStr">
        <is>
          <t>Saudi Arabia</t>
        </is>
      </c>
      <c r="B14" s="12" t="n">
        <v>2074439</v>
      </c>
      <c r="C14" t="inlineStr">
        <is>
          <t>X</t>
        </is>
      </c>
    </row>
    <row r="15">
      <c r="A15" t="inlineStr">
        <is>
          <t>Viet Nam</t>
        </is>
      </c>
      <c r="B15" s="12" t="n">
        <v>1987732</v>
      </c>
      <c r="C15" t="inlineStr">
        <is>
          <t>O</t>
        </is>
      </c>
    </row>
    <row r="16">
      <c r="A16" t="inlineStr">
        <is>
          <t>Korea, South</t>
        </is>
      </c>
      <c r="B16" s="12" t="n">
        <v>1367467</v>
      </c>
      <c r="C16" t="inlineStr">
        <is>
          <t>O</t>
        </is>
      </c>
    </row>
    <row r="17">
      <c r="A17" t="inlineStr">
        <is>
          <t>Bangladesh</t>
        </is>
      </c>
      <c r="B17" s="12" t="n">
        <v>1276520</v>
      </c>
      <c r="C17" t="inlineStr">
        <is>
          <t>O</t>
        </is>
      </c>
    </row>
    <row r="18">
      <c r="A18" t="inlineStr">
        <is>
          <t>Singapore</t>
        </is>
      </c>
      <c r="B18" s="12" t="n">
        <v>1192361</v>
      </c>
      <c r="C18" t="inlineStr">
        <is>
          <t>O</t>
        </is>
      </c>
    </row>
    <row r="19">
      <c r="A19" t="inlineStr">
        <is>
          <t>United States</t>
        </is>
      </c>
      <c r="B19" s="12" t="n">
        <v>1079699</v>
      </c>
      <c r="C19" t="inlineStr">
        <is>
          <t>O</t>
        </is>
      </c>
    </row>
    <row r="20">
      <c r="A20" t="inlineStr">
        <is>
          <t>Hong Kong</t>
        </is>
      </c>
      <c r="B20" s="12" t="n">
        <v>782731</v>
      </c>
      <c r="C20" t="inlineStr">
        <is>
          <t>O</t>
        </is>
      </c>
    </row>
    <row r="21">
      <c r="A21" t="inlineStr">
        <is>
          <t>South Africa</t>
        </is>
      </c>
      <c r="B21" s="12" t="n">
        <v>775664</v>
      </c>
      <c r="C21" t="inlineStr">
        <is>
          <t>X</t>
        </is>
      </c>
    </row>
    <row r="22">
      <c r="A22" t="inlineStr">
        <is>
          <t>Malaysia</t>
        </is>
      </c>
      <c r="B22" s="12" t="n">
        <v>641977</v>
      </c>
    </row>
    <row r="23">
      <c r="A23" t="inlineStr">
        <is>
          <t>Qatar</t>
        </is>
      </c>
      <c r="B23" s="12" t="n">
        <v>629027</v>
      </c>
    </row>
    <row r="24">
      <c r="A24" t="inlineStr">
        <is>
          <t>Egypt</t>
        </is>
      </c>
      <c r="B24" s="12" t="n">
        <v>479114</v>
      </c>
      <c r="C24" t="inlineStr">
        <is>
          <t>X</t>
        </is>
      </c>
    </row>
    <row r="25">
      <c r="A25" t="inlineStr">
        <is>
          <t>Thailand</t>
        </is>
      </c>
      <c r="B25" s="12" t="n">
        <v>400153</v>
      </c>
    </row>
    <row r="26">
      <c r="A26" t="inlineStr">
        <is>
          <t>Fiji</t>
        </is>
      </c>
      <c r="B26" s="12" t="n">
        <v>362270</v>
      </c>
    </row>
    <row r="27">
      <c r="A27" t="inlineStr">
        <is>
          <t>Indonesia</t>
        </is>
      </c>
      <c r="B27" s="12" t="n">
        <v>348785</v>
      </c>
    </row>
    <row r="28">
      <c r="A28" t="inlineStr">
        <is>
          <t>Bhutan</t>
        </is>
      </c>
      <c r="B28" s="12" t="n">
        <v>345442</v>
      </c>
    </row>
    <row r="29">
      <c r="A29" t="inlineStr">
        <is>
          <t>Taiwan</t>
        </is>
      </c>
      <c r="B29" s="12" t="n">
        <v>338770</v>
      </c>
    </row>
    <row r="30">
      <c r="A30" t="inlineStr">
        <is>
          <t>Kuwait</t>
        </is>
      </c>
      <c r="B30" s="12" t="n">
        <v>333211</v>
      </c>
    </row>
    <row r="31">
      <c r="A31" t="inlineStr">
        <is>
          <t>Zimbabwe</t>
        </is>
      </c>
      <c r="B31" s="12" t="n">
        <v>306177</v>
      </c>
    </row>
    <row r="32">
      <c r="A32" t="inlineStr">
        <is>
          <t>Kenya</t>
        </is>
      </c>
      <c r="B32" s="12" t="n">
        <v>282456</v>
      </c>
    </row>
    <row r="33">
      <c r="A33" t="inlineStr">
        <is>
          <t>Bahrain</t>
        </is>
      </c>
      <c r="B33" s="12" t="n">
        <v>239523</v>
      </c>
    </row>
    <row r="34">
      <c r="A34" t="inlineStr">
        <is>
          <t>Nigeria</t>
        </is>
      </c>
      <c r="B34" s="12" t="n">
        <v>227681</v>
      </c>
    </row>
    <row r="35">
      <c r="A35" t="inlineStr">
        <is>
          <t>Brazil</t>
        </is>
      </c>
      <c r="B35" s="12" t="n">
        <v>203241</v>
      </c>
      <c r="C35" t="inlineStr">
        <is>
          <t>O</t>
        </is>
      </c>
    </row>
    <row r="36">
      <c r="A36" t="inlineStr">
        <is>
          <t>Japan</t>
        </is>
      </c>
      <c r="B36" s="12" t="n">
        <v>200161</v>
      </c>
    </row>
    <row r="37">
      <c r="A37" t="inlineStr">
        <is>
          <t>Ireland</t>
        </is>
      </c>
      <c r="B37" s="12" t="n">
        <v>189945</v>
      </c>
    </row>
    <row r="38">
      <c r="A38" t="inlineStr">
        <is>
          <t>Oman</t>
        </is>
      </c>
      <c r="B38" s="12" t="n">
        <v>164516</v>
      </c>
    </row>
    <row r="39">
      <c r="A39" t="inlineStr">
        <is>
          <t>Iraq</t>
        </is>
      </c>
      <c r="B39" s="12" t="n">
        <v>161450</v>
      </c>
    </row>
    <row r="40">
      <c r="A40" t="inlineStr">
        <is>
          <t>Germany</t>
        </is>
      </c>
      <c r="B40" s="12" t="n">
        <v>145440</v>
      </c>
    </row>
    <row r="41">
      <c r="A41" t="inlineStr">
        <is>
          <t>Jordan</t>
        </is>
      </c>
      <c r="B41" s="12" t="n">
        <v>120135</v>
      </c>
    </row>
    <row r="42">
      <c r="A42" t="inlineStr">
        <is>
          <t>France</t>
        </is>
      </c>
      <c r="B42" s="12" t="n">
        <v>113825</v>
      </c>
    </row>
    <row r="43">
      <c r="A43" t="inlineStr">
        <is>
          <t>Spain</t>
        </is>
      </c>
      <c r="B43" s="12" t="n">
        <v>110879</v>
      </c>
    </row>
    <row r="44">
      <c r="A44" t="inlineStr">
        <is>
          <t>Norway</t>
        </is>
      </c>
      <c r="B44" s="12" t="n">
        <v>109383</v>
      </c>
    </row>
    <row r="45">
      <c r="A45" t="inlineStr">
        <is>
          <t>Netherlands</t>
        </is>
      </c>
      <c r="B45" s="12" t="n">
        <v>102402</v>
      </c>
    </row>
    <row r="46">
      <c r="A46" t="inlineStr">
        <is>
          <t>Papua New Guinea</t>
        </is>
      </c>
      <c r="B46" s="12" t="n">
        <v>98996</v>
      </c>
    </row>
    <row r="47">
      <c r="A47" t="inlineStr">
        <is>
          <t>Israel</t>
        </is>
      </c>
      <c r="B47" s="12" t="n">
        <v>93974</v>
      </c>
    </row>
    <row r="48">
      <c r="A48" t="inlineStr">
        <is>
          <t>Denmark</t>
        </is>
      </c>
      <c r="B48" s="12" t="n">
        <v>88848</v>
      </c>
    </row>
    <row r="49">
      <c r="A49" t="inlineStr">
        <is>
          <t>Ghana</t>
        </is>
      </c>
      <c r="B49" s="12" t="n">
        <v>83307</v>
      </c>
    </row>
    <row r="50">
      <c r="A50" t="inlineStr">
        <is>
          <t>Italy</t>
        </is>
      </c>
      <c r="B50" s="12" t="n">
        <v>79186</v>
      </c>
    </row>
    <row r="51">
      <c r="A51" t="inlineStr">
        <is>
          <t>Cyprus</t>
        </is>
      </c>
      <c r="B51" s="12" t="n">
        <v>73823</v>
      </c>
    </row>
    <row r="52">
      <c r="A52" t="inlineStr">
        <is>
          <t>Finland</t>
        </is>
      </c>
      <c r="B52" s="12" t="n">
        <v>73713</v>
      </c>
    </row>
    <row r="53">
      <c r="A53" t="inlineStr">
        <is>
          <t>Belgium</t>
        </is>
      </c>
      <c r="B53" s="12" t="n">
        <v>70768</v>
      </c>
    </row>
    <row r="54">
      <c r="A54" t="inlineStr">
        <is>
          <t>Macao</t>
        </is>
      </c>
      <c r="B54" s="12" t="n">
        <v>68722</v>
      </c>
    </row>
    <row r="55">
      <c r="A55" t="inlineStr">
        <is>
          <t>Switzerland</t>
        </is>
      </c>
      <c r="B55" s="12" t="n">
        <v>67453</v>
      </c>
    </row>
    <row r="56">
      <c r="A56" t="inlineStr">
        <is>
          <t>Poland</t>
        </is>
      </c>
      <c r="B56" s="12" t="n">
        <v>63114</v>
      </c>
    </row>
    <row r="57">
      <c r="A57" t="inlineStr">
        <is>
          <t>Sweden</t>
        </is>
      </c>
      <c r="B57" s="12" t="n">
        <v>60661</v>
      </c>
    </row>
    <row r="58">
      <c r="A58" t="inlineStr">
        <is>
          <t>Colombia</t>
        </is>
      </c>
      <c r="B58" s="12" t="n">
        <v>60326</v>
      </c>
    </row>
    <row r="59">
      <c r="A59" t="inlineStr">
        <is>
          <t>Cambodia</t>
        </is>
      </c>
      <c r="B59" s="12" t="n">
        <v>55654</v>
      </c>
    </row>
    <row r="60">
      <c r="A60" t="inlineStr">
        <is>
          <t>Chile</t>
        </is>
      </c>
      <c r="B60" s="12" t="n">
        <v>52551</v>
      </c>
    </row>
    <row r="61">
      <c r="A61" t="inlineStr">
        <is>
          <t>Mongolia</t>
        </is>
      </c>
      <c r="B61" s="12" t="n">
        <v>50199</v>
      </c>
    </row>
    <row r="62">
      <c r="A62" t="inlineStr">
        <is>
          <t>Mexico</t>
        </is>
      </c>
      <c r="B62" s="12" t="n">
        <v>49415</v>
      </c>
      <c r="C62" t="inlineStr">
        <is>
          <t>O</t>
        </is>
      </c>
    </row>
    <row r="63">
      <c r="A63" t="inlineStr">
        <is>
          <t>Peru</t>
        </is>
      </c>
      <c r="B63" s="12" t="n">
        <v>42874</v>
      </c>
    </row>
    <row r="64">
      <c r="A64" t="inlineStr">
        <is>
          <t>Myanmar</t>
        </is>
      </c>
      <c r="B64" s="12" t="n">
        <v>41533</v>
      </c>
    </row>
    <row r="65">
      <c r="A65" t="inlineStr">
        <is>
          <t>Lebanon</t>
        </is>
      </c>
      <c r="B65" s="12" t="n">
        <v>38722</v>
      </c>
    </row>
    <row r="66">
      <c r="A66" t="inlineStr">
        <is>
          <t>Austria</t>
        </is>
      </c>
      <c r="B66" s="12" t="n">
        <v>36027</v>
      </c>
    </row>
    <row r="67">
      <c r="A67" t="inlineStr">
        <is>
          <t>Portugal</t>
        </is>
      </c>
      <c r="B67" s="12" t="n">
        <v>34037</v>
      </c>
    </row>
    <row r="68">
      <c r="A68" t="inlineStr">
        <is>
          <t>Romania</t>
        </is>
      </c>
      <c r="B68" s="12" t="n">
        <v>33593</v>
      </c>
    </row>
    <row r="69">
      <c r="A69" t="inlineStr">
        <is>
          <t>Brunei Darussalam</t>
        </is>
      </c>
      <c r="B69" s="12" t="n">
        <v>24659</v>
      </c>
    </row>
    <row r="70">
      <c r="A70" t="inlineStr">
        <is>
          <t>Armenia</t>
        </is>
      </c>
      <c r="B70" s="12" t="n">
        <v>24327</v>
      </c>
    </row>
    <row r="71">
      <c r="A71" t="inlineStr">
        <is>
          <t>Argentina</t>
        </is>
      </c>
      <c r="B71" s="12" t="n">
        <v>24124</v>
      </c>
    </row>
    <row r="72">
      <c r="A72" t="inlineStr">
        <is>
          <t>Malta</t>
        </is>
      </c>
      <c r="B72" s="12" t="n">
        <v>23750</v>
      </c>
    </row>
    <row r="73">
      <c r="A73" t="inlineStr">
        <is>
          <t>Ethiopia</t>
        </is>
      </c>
      <c r="B73" s="12" t="n">
        <v>22787</v>
      </c>
    </row>
    <row r="74">
      <c r="A74" t="inlineStr">
        <is>
          <t>Kazakhstan</t>
        </is>
      </c>
      <c r="B74" s="12" t="n">
        <v>22228</v>
      </c>
    </row>
    <row r="75">
      <c r="A75" t="inlineStr">
        <is>
          <t>Ecuador</t>
        </is>
      </c>
      <c r="B75" s="12" t="n">
        <v>20376</v>
      </c>
    </row>
    <row r="76">
      <c r="A76" t="inlineStr">
        <is>
          <t>Mauritius</t>
        </is>
      </c>
      <c r="B76" s="12" t="n">
        <v>20270</v>
      </c>
    </row>
    <row r="77">
      <c r="A77" t="inlineStr">
        <is>
          <t>Azerbaijan</t>
        </is>
      </c>
      <c r="B77" s="12" t="n">
        <v>18831</v>
      </c>
    </row>
    <row r="78">
      <c r="A78" t="inlineStr">
        <is>
          <t>Morocco</t>
        </is>
      </c>
      <c r="B78" s="12" t="n">
        <v>18674</v>
      </c>
    </row>
    <row r="79">
      <c r="A79" t="inlineStr">
        <is>
          <t>Hungary</t>
        </is>
      </c>
      <c r="B79" s="12" t="n">
        <v>18543</v>
      </c>
    </row>
    <row r="80">
      <c r="A80" t="inlineStr">
        <is>
          <t>Czech Republic</t>
        </is>
      </c>
      <c r="B80" s="12" t="n">
        <v>18031</v>
      </c>
    </row>
    <row r="81">
      <c r="A81" t="inlineStr">
        <is>
          <t>Serbia</t>
        </is>
      </c>
      <c r="B81" s="12" t="n">
        <v>17748</v>
      </c>
    </row>
    <row r="82">
      <c r="A82" t="inlineStr">
        <is>
          <t>Dominican Republic</t>
        </is>
      </c>
      <c r="B82" s="12" t="n">
        <v>16985</v>
      </c>
    </row>
    <row r="83">
      <c r="A83" t="inlineStr">
        <is>
          <t>Zambia</t>
        </is>
      </c>
      <c r="B83" s="12" t="n">
        <v>16382</v>
      </c>
    </row>
    <row r="84">
      <c r="A84" t="inlineStr">
        <is>
          <t>Uzbekistan</t>
        </is>
      </c>
      <c r="B84" s="12" t="n">
        <v>16098</v>
      </c>
    </row>
    <row r="85">
      <c r="A85" t="inlineStr">
        <is>
          <t>Botswana</t>
        </is>
      </c>
      <c r="B85" s="12" t="n">
        <v>15811</v>
      </c>
    </row>
    <row r="86">
      <c r="A86" t="inlineStr">
        <is>
          <t>Estonia</t>
        </is>
      </c>
      <c r="B86" s="12" t="n">
        <v>15181</v>
      </c>
    </row>
    <row r="87">
      <c r="A87" t="inlineStr">
        <is>
          <t>Namibia</t>
        </is>
      </c>
      <c r="B87" s="12" t="n">
        <v>14736</v>
      </c>
    </row>
    <row r="88">
      <c r="A88" t="inlineStr">
        <is>
          <t>Tanzania</t>
        </is>
      </c>
      <c r="B88" s="12" t="n">
        <v>14189</v>
      </c>
    </row>
    <row r="89">
      <c r="A89" t="inlineStr">
        <is>
          <t>Ukraine</t>
        </is>
      </c>
      <c r="B89" s="12" t="n">
        <v>12925</v>
      </c>
    </row>
    <row r="90">
      <c r="A90" t="inlineStr">
        <is>
          <t>Georgia</t>
        </is>
      </c>
      <c r="B90" s="12" t="n">
        <v>12896</v>
      </c>
    </row>
    <row r="91">
      <c r="A91" t="inlineStr">
        <is>
          <t>Slovenia</t>
        </is>
      </c>
      <c r="B91" s="12" t="n">
        <v>12403</v>
      </c>
    </row>
    <row r="92">
      <c r="A92" t="inlineStr">
        <is>
          <t>Occupied Palestinian Territories</t>
        </is>
      </c>
      <c r="B92" s="12" t="n">
        <v>12083</v>
      </c>
    </row>
    <row r="93">
      <c r="A93" t="inlineStr">
        <is>
          <t>Albania</t>
        </is>
      </c>
      <c r="B93" s="12" t="n">
        <v>11935</v>
      </c>
    </row>
    <row r="94">
      <c r="A94" t="inlineStr">
        <is>
          <t>Latvia</t>
        </is>
      </c>
      <c r="B94" s="12" t="n">
        <v>11766</v>
      </c>
    </row>
    <row r="95">
      <c r="A95" t="inlineStr">
        <is>
          <t>Cameroon</t>
        </is>
      </c>
      <c r="B95" s="12" t="n">
        <v>10539</v>
      </c>
    </row>
    <row r="96">
      <c r="A96" t="inlineStr">
        <is>
          <t>North Macedonia</t>
        </is>
      </c>
      <c r="B96" s="12" t="n">
        <v>9791</v>
      </c>
    </row>
    <row r="97">
      <c r="A97" t="inlineStr">
        <is>
          <t>Trinidad and Tobago</t>
        </is>
      </c>
      <c r="B97" s="12" t="n">
        <v>9606</v>
      </c>
    </row>
    <row r="98">
      <c r="A98" t="inlineStr">
        <is>
          <t>Lithuania</t>
        </is>
      </c>
      <c r="B98" s="12" t="n">
        <v>9467</v>
      </c>
    </row>
    <row r="99">
      <c r="A99" t="inlineStr">
        <is>
          <t>Malawi</t>
        </is>
      </c>
      <c r="B99" s="12" t="n">
        <v>8427</v>
      </c>
    </row>
    <row r="100">
      <c r="A100" t="inlineStr">
        <is>
          <t>Panama</t>
        </is>
      </c>
      <c r="B100" s="12" t="n">
        <v>8346</v>
      </c>
    </row>
    <row r="101">
      <c r="A101" t="inlineStr">
        <is>
          <t>Uganda</t>
        </is>
      </c>
      <c r="B101" s="12" t="n">
        <v>8057</v>
      </c>
    </row>
    <row r="102">
      <c r="A102" t="inlineStr">
        <is>
          <t>Greece</t>
        </is>
      </c>
      <c r="B102" s="12" t="n">
        <v>7855</v>
      </c>
    </row>
    <row r="103">
      <c r="A103" t="inlineStr">
        <is>
          <t>Algeria</t>
        </is>
      </c>
      <c r="B103" s="12" t="n">
        <v>7659</v>
      </c>
    </row>
    <row r="104">
      <c r="A104" t="inlineStr">
        <is>
          <t>Tunisia</t>
        </is>
      </c>
      <c r="B104" s="12" t="n">
        <v>6929</v>
      </c>
    </row>
    <row r="105">
      <c r="A105" t="inlineStr">
        <is>
          <t>Rwanda</t>
        </is>
      </c>
      <c r="B105" s="12" t="n">
        <v>5984</v>
      </c>
    </row>
    <row r="106">
      <c r="A106" t="inlineStr">
        <is>
          <t>Madagascar</t>
        </is>
      </c>
      <c r="B106" s="12" t="n">
        <v>5429</v>
      </c>
    </row>
    <row r="107">
      <c r="A107" t="inlineStr">
        <is>
          <t>Croatia</t>
        </is>
      </c>
      <c r="B107" s="12" t="n">
        <v>5083</v>
      </c>
    </row>
    <row r="108">
      <c r="A108" t="inlineStr">
        <is>
          <t>Mozambique</t>
        </is>
      </c>
      <c r="B108" s="12" t="n">
        <v>4295</v>
      </c>
    </row>
    <row r="109">
      <c r="A109" t="inlineStr">
        <is>
          <t>Bulgaria</t>
        </is>
      </c>
      <c r="B109" s="12" t="n">
        <v>4244</v>
      </c>
    </row>
    <row r="110">
      <c r="A110" t="inlineStr">
        <is>
          <t>Turkmenistan</t>
        </is>
      </c>
      <c r="B110" s="12" t="n">
        <v>3984</v>
      </c>
    </row>
    <row r="111">
      <c r="A111" t="inlineStr">
        <is>
          <t>Jamaica</t>
        </is>
      </c>
      <c r="B111" s="12" t="n">
        <v>3846</v>
      </c>
    </row>
    <row r="112">
      <c r="A112" t="inlineStr">
        <is>
          <t>Puerto Rico</t>
        </is>
      </c>
      <c r="B112" s="12" t="n">
        <v>3465</v>
      </c>
    </row>
    <row r="113">
      <c r="A113" t="inlineStr">
        <is>
          <t>Kyrgyzstan</t>
        </is>
      </c>
      <c r="B113" s="12" t="n">
        <v>3441</v>
      </c>
    </row>
    <row r="114">
      <c r="A114" t="inlineStr">
        <is>
          <t>Tajikistan</t>
        </is>
      </c>
      <c r="B114" s="12" t="n">
        <v>3417</v>
      </c>
    </row>
    <row r="115">
      <c r="A115" t="inlineStr">
        <is>
          <t>Montenegro</t>
        </is>
      </c>
      <c r="B115" s="12" t="n">
        <v>2953</v>
      </c>
    </row>
    <row r="116">
      <c r="A116" t="inlineStr">
        <is>
          <t>Senegal</t>
        </is>
      </c>
      <c r="B116" s="12" t="n">
        <v>2425</v>
      </c>
    </row>
    <row r="117">
      <c r="A117" t="inlineStr">
        <is>
          <t>Venezuela</t>
        </is>
      </c>
      <c r="B117" s="12" t="n">
        <v>1701</v>
      </c>
    </row>
    <row r="118">
      <c r="A118" t="inlineStr">
        <is>
          <t>Bosnia and Herzegovina</t>
        </is>
      </c>
      <c r="B118" s="12" t="n">
        <v>1571</v>
      </c>
    </row>
    <row r="119">
      <c r="A119" t="inlineStr">
        <is>
          <t>Slovakia</t>
        </is>
      </c>
      <c r="B119" s="12" t="n">
        <v>1392</v>
      </c>
    </row>
    <row r="120">
      <c r="A120" t="inlineStr">
        <is>
          <t>Libya</t>
        </is>
      </c>
      <c r="B120" s="12" t="n">
        <v>1161</v>
      </c>
    </row>
    <row r="121">
      <c r="A121" t="inlineStr">
        <is>
          <t>Russian Federation</t>
        </is>
      </c>
      <c r="B121" s="12" t="n">
        <v>295</v>
      </c>
    </row>
    <row r="122">
      <c r="A122" t="inlineStr">
        <is>
          <t>Costa Rica</t>
        </is>
      </c>
      <c r="B122" s="12" t="n">
        <v>173</v>
      </c>
    </row>
    <row r="123">
      <c r="A123" t="inlineStr">
        <is>
          <t>Solomon Islands</t>
        </is>
      </c>
      <c r="B123" s="12" t="n">
        <v>98</v>
      </c>
    </row>
    <row r="124">
      <c r="A124" t="inlineStr">
        <is>
          <t>Iceland</t>
        </is>
      </c>
      <c r="B124" s="12" t="n">
        <v>39</v>
      </c>
    </row>
    <row r="125">
      <c r="A125" t="inlineStr">
        <is>
          <t>American Samoa</t>
        </is>
      </c>
      <c r="B125" s="12" t="n">
        <v>0</v>
      </c>
    </row>
    <row r="126">
      <c r="A126" t="inlineStr">
        <is>
          <t>Lao Peoples Democratic Republic</t>
        </is>
      </c>
      <c r="B126" s="12" t="n">
        <v>0</v>
      </c>
    </row>
    <row r="127">
      <c r="A127" t="inlineStr">
        <is>
          <t>Paraguay</t>
        </is>
      </c>
      <c r="B127" s="12" t="n">
        <v>0</v>
      </c>
    </row>
    <row r="128">
      <c r="A128" t="inlineStr">
        <is>
          <t>Belarus</t>
        </is>
      </c>
      <c r="B128" s="12" t="n">
        <v>0</v>
      </c>
    </row>
    <row r="129">
      <c r="A129" t="inlineStr">
        <is>
          <t>Virgin Islands, US</t>
        </is>
      </c>
      <c r="B129" s="12" t="n">
        <v>0</v>
      </c>
    </row>
    <row r="130">
      <c r="A130" t="inlineStr">
        <is>
          <t>Guam</t>
        </is>
      </c>
      <c r="B130" s="12" t="n">
        <v>0</v>
      </c>
    </row>
    <row r="131">
      <c r="A131" t="inlineStr">
        <is>
          <t>Afghanistan</t>
        </is>
      </c>
      <c r="B131" s="12" t="n">
        <v>0</v>
      </c>
    </row>
    <row r="132">
      <c r="A132" t="inlineStr">
        <is>
          <t>Somalia</t>
        </is>
      </c>
      <c r="B132" s="12" t="n">
        <v>0</v>
      </c>
    </row>
    <row r="133">
      <c r="A133" t="inlineStr">
        <is>
          <t>Yemen</t>
        </is>
      </c>
      <c r="B133" s="12" t="n">
        <v>0</v>
      </c>
    </row>
    <row r="134">
      <c r="A134" t="inlineStr">
        <is>
          <t>Cote d'Ivoire</t>
        </is>
      </c>
      <c r="B134" s="12" t="n">
        <v>0</v>
      </c>
    </row>
    <row r="135">
      <c r="A135" t="inlineStr">
        <is>
          <t>Seychelles</t>
        </is>
      </c>
      <c r="B135" s="12" t="n">
        <v>0</v>
      </c>
    </row>
    <row r="136">
      <c r="A136" t="inlineStr">
        <is>
          <t>Guinea</t>
        </is>
      </c>
      <c r="B136" s="12" t="n">
        <v>0</v>
      </c>
    </row>
    <row r="137">
      <c r="A137" t="inlineStr">
        <is>
          <t>Saint Lucia</t>
        </is>
      </c>
      <c r="B137" s="12" t="n">
        <v>0</v>
      </c>
    </row>
    <row r="138">
      <c r="A138" t="inlineStr">
        <is>
          <t>Guatemala</t>
        </is>
      </c>
      <c r="B138" s="12" t="n">
        <v>0</v>
      </c>
    </row>
    <row r="139">
      <c r="A139" t="inlineStr">
        <is>
          <t>Bahamas</t>
        </is>
      </c>
      <c r="B139" s="12" t="n">
        <v>0</v>
      </c>
    </row>
    <row r="140">
      <c r="A140" t="inlineStr">
        <is>
          <t>Haiti</t>
        </is>
      </c>
      <c r="B140" s="12" t="n">
        <v>0</v>
      </c>
    </row>
    <row r="141">
      <c r="A141" t="inlineStr">
        <is>
          <t>Luxembourg</t>
        </is>
      </c>
      <c r="B141" s="12" t="n">
        <v>0</v>
      </c>
    </row>
    <row r="142">
      <c r="A142" t="inlineStr">
        <is>
          <t>Timor-Leste</t>
        </is>
      </c>
      <c r="B142" s="12" t="n">
        <v>0</v>
      </c>
    </row>
    <row r="143">
      <c r="A143" t="inlineStr">
        <is>
          <t>El Salvador</t>
        </is>
      </c>
      <c r="B143" s="12" t="n">
        <v>0</v>
      </c>
    </row>
    <row r="144">
      <c r="A144" t="inlineStr">
        <is>
          <t>Anguilla</t>
        </is>
      </c>
      <c r="B144" s="12" t="n">
        <v>0</v>
      </c>
    </row>
    <row r="145">
      <c r="A145" t="inlineStr">
        <is>
          <t>Congo, The Democratic Republic</t>
        </is>
      </c>
      <c r="B145" s="12" t="n">
        <v>0</v>
      </c>
    </row>
    <row r="146">
      <c r="A146" t="inlineStr">
        <is>
          <t>Samoa</t>
        </is>
      </c>
      <c r="B146" s="12" t="n">
        <v>0</v>
      </c>
    </row>
    <row r="147">
      <c r="A147" t="inlineStr">
        <is>
          <t>Djibouti</t>
        </is>
      </c>
      <c r="B147" s="12" t="n">
        <v>0</v>
      </c>
    </row>
    <row r="148">
      <c r="A148" t="inlineStr">
        <is>
          <t>Eswatini</t>
        </is>
      </c>
      <c r="B148" s="12" t="n">
        <v>0</v>
      </c>
    </row>
    <row r="149">
      <c r="A149" t="inlineStr">
        <is>
          <t>Angola</t>
        </is>
      </c>
      <c r="B149" s="12" t="n">
        <v>0</v>
      </c>
    </row>
    <row r="150">
      <c r="A150" t="inlineStr">
        <is>
          <t>Honduras</t>
        </is>
      </c>
      <c r="B150" s="12" t="n">
        <v>0</v>
      </c>
    </row>
    <row r="151">
      <c r="A151" t="inlineStr">
        <is>
          <t>Mali</t>
        </is>
      </c>
      <c r="B151" s="12" t="n">
        <v>0</v>
      </c>
    </row>
    <row r="152">
      <c r="A152" t="inlineStr">
        <is>
          <t>Liberia</t>
        </is>
      </c>
      <c r="B152" s="12" t="n">
        <v>0</v>
      </c>
    </row>
    <row r="153">
      <c r="A153" t="inlineStr">
        <is>
          <t>Cook Islands</t>
        </is>
      </c>
      <c r="B153" s="12" t="n">
        <v>0</v>
      </c>
    </row>
    <row r="154">
      <c r="A154" t="inlineStr">
        <is>
          <t>Moldova</t>
        </is>
      </c>
      <c r="B154" s="12" t="n">
        <v>0</v>
      </c>
    </row>
    <row r="155">
      <c r="A155" t="inlineStr">
        <is>
          <t>Dominica</t>
        </is>
      </c>
      <c r="B155" s="12" t="n">
        <v>0</v>
      </c>
    </row>
    <row r="156">
      <c r="A156" t="inlineStr">
        <is>
          <t>Bermuda</t>
        </is>
      </c>
      <c r="B156" s="12" t="n">
        <v>0</v>
      </c>
    </row>
    <row r="157">
      <c r="A157" t="inlineStr">
        <is>
          <t>Niger</t>
        </is>
      </c>
      <c r="B157" s="12" t="n">
        <v>0</v>
      </c>
    </row>
    <row r="158">
      <c r="A158" t="inlineStr">
        <is>
          <t>Vanuatu</t>
        </is>
      </c>
      <c r="B158" s="12" t="n">
        <v>0</v>
      </c>
    </row>
    <row r="159">
      <c r="A159" t="inlineStr">
        <is>
          <t>Antigua and Barbuda</t>
        </is>
      </c>
      <c r="B159" s="12" t="n">
        <v>0</v>
      </c>
    </row>
    <row r="160">
      <c r="A160" t="inlineStr">
        <is>
          <t>Maldives</t>
        </is>
      </c>
      <c r="B160" s="12" t="n">
        <v>0</v>
      </c>
    </row>
    <row r="161">
      <c r="A161" t="inlineStr">
        <is>
          <t>Cayman Islands</t>
        </is>
      </c>
      <c r="B161" s="12" t="n">
        <v>0</v>
      </c>
    </row>
    <row r="162">
      <c r="A162" t="inlineStr">
        <is>
          <t>South Sudan</t>
        </is>
      </c>
      <c r="B162" s="12" t="n">
        <v>0</v>
      </c>
    </row>
    <row r="163">
      <c r="A163" t="inlineStr">
        <is>
          <t>Barbados</t>
        </is>
      </c>
      <c r="B163" s="12" t="n">
        <v>0</v>
      </c>
    </row>
    <row r="164">
      <c r="A164" t="inlineStr">
        <is>
          <t>Uruguay</t>
        </is>
      </c>
      <c r="B164" s="12" t="n">
        <v>0</v>
      </c>
    </row>
    <row r="165">
      <c r="A165" t="inlineStr">
        <is>
          <t>Lesotho</t>
        </is>
      </c>
      <c r="B165" s="12" t="n">
        <v>0</v>
      </c>
    </row>
    <row r="166">
      <c r="A166" t="inlineStr">
        <is>
          <t>Equatorial Guinea</t>
        </is>
      </c>
      <c r="B166" s="12" t="n">
        <v>0</v>
      </c>
    </row>
    <row r="167">
      <c r="A167" t="inlineStr">
        <is>
          <t>Monaco</t>
        </is>
      </c>
      <c r="B167" s="12" t="n">
        <v>0</v>
      </c>
    </row>
    <row r="168">
      <c r="A168" t="inlineStr">
        <is>
          <t>Gabon</t>
        </is>
      </c>
      <c r="B168" s="12" t="n">
        <v>0</v>
      </c>
    </row>
    <row r="169">
      <c r="A169" t="inlineStr">
        <is>
          <t>Martinique</t>
        </is>
      </c>
      <c r="B169" s="12" t="n">
        <v>0</v>
      </c>
    </row>
    <row r="170">
      <c r="A170" t="inlineStr">
        <is>
          <t>Liechtenstein</t>
        </is>
      </c>
      <c r="B170" s="12" t="n">
        <v>0</v>
      </c>
    </row>
    <row r="171">
      <c r="A171" t="inlineStr">
        <is>
          <t>Sierra Leone</t>
        </is>
      </c>
      <c r="B171" s="12" t="n">
        <v>0</v>
      </c>
    </row>
    <row r="172">
      <c r="A172" t="inlineStr">
        <is>
          <t>Burkina Faso</t>
        </is>
      </c>
      <c r="B172" s="12" t="n">
        <v>0</v>
      </c>
    </row>
    <row r="173">
      <c r="A173" t="inlineStr">
        <is>
          <t>(blank)</t>
        </is>
      </c>
      <c r="B173" s="12" t="n">
        <v>0</v>
      </c>
    </row>
    <row r="174">
      <c r="A174" t="inlineStr">
        <is>
          <t>Iran</t>
        </is>
      </c>
      <c r="B174" s="12" t="n">
        <v>0</v>
      </c>
    </row>
    <row r="175">
      <c r="A175" t="inlineStr">
        <is>
          <t>Gambia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Nico Brettraeger</dc:creator>
  <dcterms:created xmlns:dcterms="http://purl.org/dc/terms/" xmlns:xsi="http://www.w3.org/2001/XMLSchema-instance" xsi:type="dcterms:W3CDTF">2025-08-28T06:57:02Z</dcterms:created>
  <dcterms:modified xmlns:dcterms="http://purl.org/dc/terms/" xmlns:xsi="http://www.w3.org/2001/XMLSchema-instance" xsi:type="dcterms:W3CDTF">2026-05-13T07:55:51Z</dcterms:modified>
  <cp:lastModifiedBy>Nico Brettraeger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0x0101005F83570BAC8831458E2A897BE68A8D52</vt:lpwstr>
  </property>
  <property name="MediaServiceImageTags" fmtid="{D5CDD505-2E9C-101B-9397-08002B2CF9AE}" pid="3">
    <vt:lpwstr xmlns:vt="http://schemas.openxmlformats.org/officeDocument/2006/docPropsVTypes"/>
  </property>
</Properties>
</file>