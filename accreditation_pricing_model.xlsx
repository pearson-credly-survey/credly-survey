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Scenario Calculator" sheetId="2" state="visible" r:id="rId4"/>
    <sheet name="Platform Deep-Dive" sheetId="3" state="visible" r:id="rId5"/>
    <sheet name="TCO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<sst xmlns="http://schemas.openxmlformats.org/spreadsheetml/2006/main" count="183" uniqueCount="135">
  <si>
    <t xml:space="preserve">Accreditation Platform Pricing Model</t>
  </si>
  <si>
    <t xml:space="preserve">Compare 9 platforms at any volume — adjust inputs in blue cells</t>
  </si>
  <si>
    <t xml:space="preserve">A.  Your volume assumptions</t>
  </si>
  <si>
    <t xml:space="preserve">Parameter</t>
  </si>
  <si>
    <t xml:space="preserve">Your value</t>
  </si>
  <si>
    <t xml:space="preserve">Notes</t>
  </si>
  <si>
    <t xml:space="preserve">Unique recipients per year</t>
  </si>
  <si>
    <t xml:space="preserve">People who receive ≥1 credential</t>
  </si>
  <si>
    <t xml:space="preserve">Avg credentials per recipient</t>
  </si>
  <si>
    <t xml:space="preserve">e.g. 1 badge + 1 cert = 2</t>
  </si>
  <si>
    <t xml:space="preserve">Total credentials issued / year</t>
  </si>
  <si>
    <t xml:space="preserve">Calculated</t>
  </si>
  <si>
    <t xml:space="preserve">Annual growth rate (%)</t>
  </si>
  <si>
    <t xml:space="preserve">For 3-year TCO projection</t>
  </si>
  <si>
    <t xml:space="preserve">B.  Platform pricing assumptions  (blue = editable inputs)</t>
  </si>
  <si>
    <t xml:space="preserve">Platform</t>
  </si>
  <si>
    <t xml:space="preserve">Pricing model</t>
  </si>
  <si>
    <t xml:space="preserve">Entry price
(USD/yr)</t>
  </si>
  <si>
    <t xml:space="preserve">Volume
included</t>
  </si>
  <si>
    <t xml:space="preserve">Cost per
extra unit
(USD)</t>
  </si>
  <si>
    <t xml:space="preserve">Source / notes</t>
  </si>
  <si>
    <t xml:space="preserve">Credly (Pearson)</t>
  </si>
  <si>
    <t xml:space="preserve">Per badge / volume tier</t>
  </si>
  <si>
    <t xml:space="preserve">Source: Certifier.io benchmark, Apr 2025. $500 onboarding fee NOT included. Tiers: 500=$3k, 1k=$5k, 2.5k=$8.5k, 5k=$11k, 10k=$20k</t>
  </si>
  <si>
    <t xml:space="preserve">Accredible</t>
  </si>
  <si>
    <t xml:space="preserve">Per unique recipient / year</t>
  </si>
  <si>
    <t xml:space="preserve">Source: accredible.com/pricing, 2025. Launch plan only. Connect/Growth: custom — use benchmark $14.7k–$30.5k (Vendr, 2025)</t>
  </si>
  <si>
    <t xml:space="preserve">Certifier</t>
  </si>
  <si>
    <t xml:space="preserve">Per credential issued / year</t>
  </si>
  <si>
    <t xml:space="preserve">Source: certifier.io/pricing, 2025. $67/mo annual. Premium: $339/mo (~$4k/yr) for 5k creds. Extra unit = overage est.</t>
  </si>
  <si>
    <t xml:space="preserve">Sertifier</t>
  </si>
  <si>
    <t xml:space="preserve">Source: sertifier.com/pricing &amp; G2, 2025. $75/mo=Essentials (1k recip), $167/mo=Pro (5k recip). Extra unit = incremental cost Pro vs Essentials</t>
  </si>
  <si>
    <t xml:space="preserve">Virtualbadge.io</t>
  </si>
  <si>
    <t xml:space="preserve">Monthly flat / volume</t>
  </si>
  <si>
    <t xml:space="preserve">—</t>
  </si>
  <si>
    <t xml:space="preserve">Source: certifier.io comparison, 2025. $59/mo entry. Enterprise custom &gt;entry tier. Single template at entry.</t>
  </si>
  <si>
    <t xml:space="preserve">CertifyMe</t>
  </si>
  <si>
    <t xml:space="preserve">Source: sertifier.com/blog/best-certifyme-alternatives, 2025. ~$65/mo Standard (2k creds), ~$200/mo WhiteLabel (8k creds)</t>
  </si>
  <si>
    <t xml:space="preserve">Certopus</t>
  </si>
  <si>
    <t xml:space="preserve">Monthly flat</t>
  </si>
  <si>
    <t xml:space="preserve">Source: original research table. $29/mo. No published volume caps found — treat as flat.</t>
  </si>
  <si>
    <t xml:space="preserve">Give My Certificate</t>
  </si>
  <si>
    <t xml:space="preserve">Monthly flat / low-cost</t>
  </si>
  <si>
    <t xml:space="preserve">Source: original research table / hyperstack.com blog, 2025. ~$10/mo, volume-based tiers exist.</t>
  </si>
  <si>
    <t xml:space="preserve">BadgeCert</t>
  </si>
  <si>
    <t xml:space="preserve">Enterprise contract (custom)</t>
  </si>
  <si>
    <t xml:space="preserve">Custom</t>
  </si>
  <si>
    <t xml:space="preserve">Source: No public pricing. Enterprise-only. Quote required. Comparable to Credly tier.</t>
  </si>
  <si>
    <t xml:space="preserve">Legend:   Blue = editable input   |   Black = calculated   |   Green = linked from other sheet   |   Yellow = key input cell</t>
  </si>
  <si>
    <t xml:space="preserve">Scenario Cost Calculator — Annual total cost at your volume</t>
  </si>
  <si>
    <t xml:space="preserve">Costs pull from Inputs sheet. Cost logic: recipient-based platforms = entry + overage; credential-based platforms = entry + overage per credential.</t>
  </si>
  <si>
    <t xml:space="preserve">↑  inputs from Inputs sheet</t>
  </si>
  <si>
    <t xml:space="preserve">Recipients / year</t>
  </si>
  <si>
    <t xml:space="preserve">Creds / recipient</t>
  </si>
  <si>
    <t xml:space="preserve">Total creds / year</t>
  </si>
  <si>
    <t xml:space="preserve">Pricing logic</t>
  </si>
  <si>
    <t xml:space="preserve">Year 1 cost</t>
  </si>
  <si>
    <t xml:space="preserve">Year 2 cost</t>
  </si>
  <si>
    <t xml:space="preserve">Year 3 cost</t>
  </si>
  <si>
    <t xml:space="preserve">3-yr total</t>
  </si>
  <si>
    <t xml:space="preserve">Cost / recipient
(Yr 1)</t>
  </si>
  <si>
    <t xml:space="preserve">Recipient-based tiers (badge vol)</t>
  </si>
  <si>
    <t xml:space="preserve">Per unique recipient + overage</t>
  </si>
  <si>
    <t xml:space="preserve">Per credential cap + overage</t>
  </si>
  <si>
    <t xml:space="preserve">Flat monthly plan</t>
  </si>
  <si>
    <t xml:space="preserve">Enterprise custom (no calc)</t>
  </si>
  <si>
    <t xml:space="preserve">"—  (custom quote)"</t>
  </si>
  <si>
    <t xml:space="preserve">"—"</t>
  </si>
  <si>
    <t xml:space="preserve">Best value (min)</t>
  </si>
  <si>
    <t xml:space="preserve">Cheapest platform</t>
  </si>
  <si>
    <t xml:space="preserve">Model notes:  1) Credly entry price uses $3,000 (500-badge tier) — adjust in Inputs if your volume matches a different tier.  2) Accredible: Connect/Growth tiers are custom-quoted; this model uses Launch pricing only — not valid above ~250 recipients.  3) Certifier: cap is per credential issued, not per recipient. At avg &gt;1 cred/recipient the 1,000-cred entry plan is exhausted quickly.  4) Sertifier: overage cost is approximated as marginal cost of upgrading Essentials→Pro over volume.  5) Year 2/3 costs apply your growth rate assumption as a volume proxy; actual pricing may step-change at tier boundaries.</t>
  </si>
  <si>
    <t xml:space="preserve">Platform Tier Ladders &amp; Per-Unit Economics</t>
  </si>
  <si>
    <t xml:space="preserve">Hardcoded published price points. Use to verify which tier your volume falls into before reading Scenario Calculator.</t>
  </si>
  <si>
    <t xml:space="preserve">Credly (Pearson) — badge volume tiers (source: certifier.io, Apr 2025)</t>
  </si>
  <si>
    <t xml:space="preserve">Tier</t>
  </si>
  <si>
    <t xml:space="preserve">Badges/year</t>
  </si>
  <si>
    <t xml:space="preserve">Annual fee</t>
  </si>
  <si>
    <t xml:space="preserve">Onboarding</t>
  </si>
  <si>
    <t xml:space="preserve">Total Yr1</t>
  </si>
  <si>
    <t xml:space="preserve">Cost/badge</t>
  </si>
  <si>
    <t xml:space="preserve">Starter</t>
  </si>
  <si>
    <t xml:space="preserve">Entry; $500 onboarding</t>
  </si>
  <si>
    <t xml:space="preserve">Growth</t>
  </si>
  <si>
    <t xml:space="preserve">Mid</t>
  </si>
  <si>
    <t xml:space="preserve">~median benchmark</t>
  </si>
  <si>
    <t xml:space="preserve">Scale</t>
  </si>
  <si>
    <t xml:space="preserve">Enterprise</t>
  </si>
  <si>
    <t xml:space="preserve">$5k onboarding</t>
  </si>
  <si>
    <t xml:space="preserve">Sertifier — recipient-based tiers (source: sertifier.com, G2, 2025)</t>
  </si>
  <si>
    <t xml:space="preserve">Plan</t>
  </si>
  <si>
    <t xml:space="preserve">Recipients</t>
  </si>
  <si>
    <t xml:space="preserve">Monthly price</t>
  </si>
  <si>
    <t xml:space="preserve">Annual price</t>
  </si>
  <si>
    <t xml:space="preserve">Cost/recipient</t>
  </si>
  <si>
    <t xml:space="preserve">Features</t>
  </si>
  <si>
    <t xml:space="preserve">Essentials</t>
  </si>
  <si>
    <t xml:space="preserve">Automation, integrations, analytics</t>
  </si>
  <si>
    <t xml:space="preserve">Pro</t>
  </si>
  <si>
    <t xml:space="preserve">+ branding, custom domain, adv analytics</t>
  </si>
  <si>
    <t xml:space="preserve">+ SSO, white-label, dedicated AM</t>
  </si>
  <si>
    <t xml:space="preserve">Quote required</t>
  </si>
  <si>
    <t xml:space="preserve">Accredible — recipient-based tiers (source: accredible.com + Vendr, 2025)</t>
  </si>
  <si>
    <t xml:space="preserve">Source</t>
  </si>
  <si>
    <t xml:space="preserve">Launch</t>
  </si>
  <si>
    <t xml:space="preserve">Public</t>
  </si>
  <si>
    <t xml:space="preserve">Entry plan only; no advanced analytics/integrations</t>
  </si>
  <si>
    <t xml:space="preserve">Connect</t>
  </si>
  <si>
    <t xml:space="preserve">250+</t>
  </si>
  <si>
    <t xml:space="preserve">Quote-only</t>
  </si>
  <si>
    <t xml:space="preserve">Estimated $14,700–$30,500 (Vendr, 200 headcount)</t>
  </si>
  <si>
    <t xml:space="preserve">High</t>
  </si>
  <si>
    <t xml:space="preserve">Estimated $36,200–$83,100 (Vendr, 1000+ headcount)</t>
  </si>
  <si>
    <t xml:space="preserve">Certifier — annual credential cap tiers (source: support.certifier.io + G2, 2025)</t>
  </si>
  <si>
    <t xml:space="preserve">Creds/year</t>
  </si>
  <si>
    <t xml:space="preserve">Monthly equiv.</t>
  </si>
  <si>
    <t xml:space="preserve">Cost/credential</t>
  </si>
  <si>
    <t xml:space="preserve">Starter (free)</t>
  </si>
  <si>
    <t xml:space="preserve">Free; limited branding</t>
  </si>
  <si>
    <t xml:space="preserve">Professional</t>
  </si>
  <si>
    <t xml:space="preserve">$67/mo annual</t>
  </si>
  <si>
    <t xml:space="preserve">Premium</t>
  </si>
  <si>
    <t xml:space="preserve">$339/mo; custom fonts, domain</t>
  </si>
  <si>
    <t xml:space="preserve">3-Year Total Cost of Ownership Summary</t>
  </si>
  <si>
    <t xml:space="preserve">Ranks platforms by 3-year TCO from Scenario Calculator. Includes colour-coded value tiers.</t>
  </si>
  <si>
    <t xml:space="preserve">Yr 1 cost</t>
  </si>
  <si>
    <t xml:space="preserve">Yr 2 cost (est.)</t>
  </si>
  <si>
    <t xml:space="preserve">Pricing transparency</t>
  </si>
  <si>
    <t xml:space="preserve">❌ Quote only</t>
  </si>
  <si>
    <t xml:space="preserve">⚠ Launch public; upper tiers quote</t>
  </si>
  <si>
    <t xml:space="preserve">✅ Fully public</t>
  </si>
  <si>
    <t xml:space="preserve">Key findings</t>
  </si>
  <si>
    <t xml:space="preserve">Cheapest Yr 1</t>
  </si>
  <si>
    <t xml:space="preserve">Cheapest 3-yr TCO</t>
  </si>
  <si>
    <t xml:space="preserve">Most expensive Yr 1</t>
  </si>
  <si>
    <t xml:space="preserve">3-yr cost spread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</si>
</sst>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%"/>
    <numFmt numFmtId="168" formatCode="\$#,##0"/>
    <numFmt numFmtId="169" formatCode="\$#,##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9"/>
      <color rgb="FF44444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1F2D4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D4E"/>
        <bgColor rgb="FF003366"/>
      </patternFill>
    </fill>
    <fill>
      <patternFill patternType="solid">
        <fgColor rgb="FF444441"/>
        <bgColor rgb="FF1F2D4E"/>
      </patternFill>
    </fill>
    <fill>
      <patternFill patternType="solid">
        <fgColor rgb="FFF5F5F3"/>
        <bgColor rgb="FFFFF9E6"/>
      </patternFill>
    </fill>
    <fill>
      <patternFill patternType="solid">
        <fgColor rgb="FFFFF9E6"/>
        <bgColor rgb="FFF5F5F3"/>
      </patternFill>
    </fill>
    <fill>
      <patternFill patternType="solid">
        <fgColor rgb="FFFFFFFF"/>
        <bgColor rgb="FFFFF9E6"/>
      </patternFill>
    </fill>
    <fill>
      <patternFill patternType="solid">
        <fgColor rgb="FFE8E8E5"/>
        <bgColor rgb="FFE1F5EE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F5F5F3"/>
      </patternFill>
    </fill>
    <fill>
      <patternFill patternType="solid">
        <fgColor rgb="FFBA7517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FFFFFF"/>
      </font>
      <fill>
        <patternFill>
          <bgColor rgb="FF1D9E75"/>
        </patternFill>
      </fill>
    </dxf>
    <dxf>
      <font>
        <b val="1"/>
        <color rgb="FFFFFFFF"/>
      </font>
      <fill>
        <patternFill>
          <bgColor rgb="FFA32D2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0C0C0"/>
      <rgbColor rgb="FF888888"/>
      <rgbColor rgb="FF9999FF"/>
      <rgbColor rgb="FF993366"/>
      <rgbColor rgb="FFFFF9E6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3"/>
      <rgbColor rgb="FFE8E8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1D9E75"/>
      <rgbColor rgb="FF003300"/>
      <rgbColor rgb="FF444441"/>
      <rgbColor rgb="FFA32D2D"/>
      <rgbColor rgb="FF993366"/>
      <rgbColor rgb="FF333399"/>
      <rgbColor rgb="FF1F2D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6" min="4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1.75" hidden="false" customHeight="true" outlineLevel="0" collapsed="false"/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s">
        <v>4</v>
      </c>
      <c r="C5" s="6" t="s">
        <v>5</v>
      </c>
    </row>
    <row r="6" customFormat="false" ht="21.75" hidden="false" customHeight="true" outlineLevel="0" collapsed="false">
      <c r="A6" s="7" t="s">
        <v>6</v>
      </c>
      <c r="B6" s="8" t="n">
        <v>500</v>
      </c>
      <c r="C6" s="9" t="s">
        <v>7</v>
      </c>
    </row>
    <row r="7" customFormat="false" ht="15" hidden="false" customHeight="true" outlineLevel="0" collapsed="false">
      <c r="A7" s="7" t="s">
        <v>8</v>
      </c>
      <c r="B7" s="10" t="n">
        <v>1.5</v>
      </c>
      <c r="C7" s="9" t="s">
        <v>9</v>
      </c>
    </row>
    <row r="8" customFormat="false" ht="15" hidden="false" customHeight="true" outlineLevel="0" collapsed="false">
      <c r="A8" s="7" t="s">
        <v>10</v>
      </c>
      <c r="B8" s="11" t="n">
        <f aca="false">B6*B7</f>
        <v>750</v>
      </c>
      <c r="C8" s="9" t="s">
        <v>11</v>
      </c>
    </row>
    <row r="9" customFormat="false" ht="15" hidden="false" customHeight="true" outlineLevel="0" collapsed="false">
      <c r="A9" s="7" t="s">
        <v>12</v>
      </c>
      <c r="B9" s="12" t="n">
        <v>0.1</v>
      </c>
      <c r="C9" s="9" t="s">
        <v>13</v>
      </c>
    </row>
    <row r="11" customFormat="false" ht="19.5" hidden="false" customHeight="true" outlineLevel="0" collapsed="false">
      <c r="A11" s="4" t="s">
        <v>14</v>
      </c>
      <c r="B11" s="4"/>
      <c r="C11" s="4"/>
      <c r="D11" s="4"/>
      <c r="E11" s="4"/>
      <c r="F11" s="4"/>
    </row>
    <row r="12" customFormat="false" ht="39.75" hidden="false" customHeight="true" outlineLevel="0" collapsed="false">
      <c r="A12" s="13" t="s">
        <v>15</v>
      </c>
      <c r="B12" s="13" t="s">
        <v>16</v>
      </c>
      <c r="C12" s="13" t="s">
        <v>17</v>
      </c>
      <c r="D12" s="13" t="s">
        <v>18</v>
      </c>
      <c r="E12" s="13" t="s">
        <v>19</v>
      </c>
      <c r="F12" s="13" t="s">
        <v>20</v>
      </c>
    </row>
    <row r="13" customFormat="false" ht="36" hidden="false" customHeight="true" outlineLevel="0" collapsed="false">
      <c r="A13" s="14" t="s">
        <v>21</v>
      </c>
      <c r="B13" s="15" t="s">
        <v>22</v>
      </c>
      <c r="C13" s="16" t="n">
        <v>3000</v>
      </c>
      <c r="D13" s="8" t="n">
        <v>500</v>
      </c>
      <c r="E13" s="17" t="n">
        <v>4</v>
      </c>
      <c r="F13" s="18" t="s">
        <v>23</v>
      </c>
    </row>
    <row r="14" customFormat="false" ht="36" hidden="false" customHeight="true" outlineLevel="0" collapsed="false">
      <c r="A14" s="19" t="s">
        <v>24</v>
      </c>
      <c r="B14" s="20" t="s">
        <v>25</v>
      </c>
      <c r="C14" s="16" t="n">
        <v>996</v>
      </c>
      <c r="D14" s="8" t="n">
        <v>250</v>
      </c>
      <c r="E14" s="17" t="n">
        <v>3.98</v>
      </c>
      <c r="F14" s="21" t="s">
        <v>26</v>
      </c>
    </row>
    <row r="15" customFormat="false" ht="36" hidden="false" customHeight="true" outlineLevel="0" collapsed="false">
      <c r="A15" s="14" t="s">
        <v>27</v>
      </c>
      <c r="B15" s="15" t="s">
        <v>28</v>
      </c>
      <c r="C15" s="16" t="n">
        <v>804</v>
      </c>
      <c r="D15" s="8" t="n">
        <v>1000</v>
      </c>
      <c r="E15" s="17" t="n">
        <v>0.8</v>
      </c>
      <c r="F15" s="18" t="s">
        <v>29</v>
      </c>
    </row>
    <row r="16" customFormat="false" ht="36" hidden="false" customHeight="true" outlineLevel="0" collapsed="false">
      <c r="A16" s="19" t="s">
        <v>30</v>
      </c>
      <c r="B16" s="20" t="s">
        <v>25</v>
      </c>
      <c r="C16" s="16" t="n">
        <v>900</v>
      </c>
      <c r="D16" s="8" t="n">
        <v>1000</v>
      </c>
      <c r="E16" s="17" t="n">
        <v>0.09</v>
      </c>
      <c r="F16" s="21" t="s">
        <v>31</v>
      </c>
    </row>
    <row r="17" customFormat="false" ht="36" hidden="false" customHeight="true" outlineLevel="0" collapsed="false">
      <c r="A17" s="14" t="s">
        <v>32</v>
      </c>
      <c r="B17" s="15" t="s">
        <v>33</v>
      </c>
      <c r="C17" s="16" t="n">
        <v>708</v>
      </c>
      <c r="D17" s="22" t="s">
        <v>34</v>
      </c>
      <c r="E17" s="22" t="s">
        <v>34</v>
      </c>
      <c r="F17" s="18" t="s">
        <v>35</v>
      </c>
    </row>
    <row r="18" customFormat="false" ht="36" hidden="false" customHeight="true" outlineLevel="0" collapsed="false">
      <c r="A18" s="19" t="s">
        <v>36</v>
      </c>
      <c r="B18" s="20" t="s">
        <v>28</v>
      </c>
      <c r="C18" s="16" t="n">
        <v>780</v>
      </c>
      <c r="D18" s="8" t="n">
        <v>2000</v>
      </c>
      <c r="E18" s="17" t="n">
        <v>0.09</v>
      </c>
      <c r="F18" s="21" t="s">
        <v>37</v>
      </c>
    </row>
    <row r="19" customFormat="false" ht="36" hidden="false" customHeight="true" outlineLevel="0" collapsed="false">
      <c r="A19" s="14" t="s">
        <v>38</v>
      </c>
      <c r="B19" s="15" t="s">
        <v>39</v>
      </c>
      <c r="C19" s="16" t="n">
        <v>348</v>
      </c>
      <c r="D19" s="22" t="s">
        <v>34</v>
      </c>
      <c r="E19" s="22" t="s">
        <v>34</v>
      </c>
      <c r="F19" s="18" t="s">
        <v>40</v>
      </c>
    </row>
    <row r="20" customFormat="false" ht="36" hidden="false" customHeight="true" outlineLevel="0" collapsed="false">
      <c r="A20" s="19" t="s">
        <v>41</v>
      </c>
      <c r="B20" s="20" t="s">
        <v>42</v>
      </c>
      <c r="C20" s="16" t="n">
        <v>120</v>
      </c>
      <c r="D20" s="23" t="s">
        <v>34</v>
      </c>
      <c r="E20" s="23" t="s">
        <v>34</v>
      </c>
      <c r="F20" s="21" t="s">
        <v>43</v>
      </c>
    </row>
    <row r="21" customFormat="false" ht="36" hidden="false" customHeight="true" outlineLevel="0" collapsed="false">
      <c r="A21" s="14" t="s">
        <v>44</v>
      </c>
      <c r="B21" s="15" t="s">
        <v>45</v>
      </c>
      <c r="C21" s="24" t="s">
        <v>46</v>
      </c>
      <c r="D21" s="22" t="s">
        <v>34</v>
      </c>
      <c r="E21" s="22" t="s">
        <v>34</v>
      </c>
      <c r="F21" s="18" t="s">
        <v>47</v>
      </c>
    </row>
    <row r="23" customFormat="false" ht="21.75" hidden="false" customHeight="true" outlineLevel="0" collapsed="false">
      <c r="A23" s="25" t="s">
        <v>48</v>
      </c>
      <c r="B23" s="25"/>
      <c r="C23" s="25"/>
      <c r="D23" s="25"/>
      <c r="E23" s="25"/>
      <c r="F23" s="25"/>
    </row>
  </sheetData>
  <mergeCells count="5">
    <mergeCell ref="A1:F1"/>
    <mergeCell ref="A2:F2"/>
    <mergeCell ref="A4:F4"/>
    <mergeCell ref="A11:F11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6"/>
    <col collapsed="false" customWidth="true" hidden="false" outlineLevel="0" max="7" min="7" style="1" width="18"/>
  </cols>
  <sheetData>
    <row r="1" customFormat="false" ht="36" hidden="false" customHeight="true" outlineLevel="0" collapsed="false">
      <c r="A1" s="26" t="s">
        <v>49</v>
      </c>
      <c r="B1" s="26"/>
      <c r="C1" s="26"/>
      <c r="D1" s="26"/>
      <c r="E1" s="26"/>
      <c r="F1" s="26"/>
      <c r="G1" s="26"/>
    </row>
    <row r="2" customFormat="false" ht="15.75" hidden="false" customHeight="true" outlineLevel="0" collapsed="false">
      <c r="A2" s="27" t="s">
        <v>50</v>
      </c>
      <c r="B2" s="27"/>
      <c r="C2" s="27"/>
      <c r="D2" s="27"/>
      <c r="E2" s="27"/>
      <c r="F2" s="27"/>
      <c r="G2" s="27"/>
    </row>
    <row r="3" customFormat="false" ht="15.75" hidden="false" customHeight="true" outlineLevel="0" collapsed="false">
      <c r="A3" s="28" t="s">
        <v>51</v>
      </c>
      <c r="B3" s="29" t="s">
        <v>52</v>
      </c>
      <c r="C3" s="29" t="s">
        <v>53</v>
      </c>
      <c r="D3" s="29" t="s">
        <v>54</v>
      </c>
    </row>
    <row r="4" customFormat="false" ht="19.5" hidden="false" customHeight="true" outlineLevel="0" collapsed="false">
      <c r="A4" s="28"/>
      <c r="B4" s="30" t="n">
        <f aca="false">Inputs!B6</f>
        <v>500</v>
      </c>
      <c r="C4" s="31" t="n">
        <f aca="false">Inputs!B7</f>
        <v>1.5</v>
      </c>
      <c r="D4" s="30" t="n">
        <f aca="false">Inputs!B8</f>
        <v>750</v>
      </c>
    </row>
    <row r="5" customFormat="false" ht="36" hidden="false" customHeight="true" outlineLevel="0" collapsed="false">
      <c r="A5" s="6" t="s">
        <v>15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</row>
    <row r="6" customFormat="false" ht="25.5" hidden="false" customHeight="true" outlineLevel="0" collapsed="false">
      <c r="A6" s="32" t="str">
        <f aca="false">Inputs!A13</f>
        <v>Credly (Pearson)</v>
      </c>
      <c r="B6" s="20" t="s">
        <v>61</v>
      </c>
      <c r="C6" s="33" t="n">
        <f aca="false">IF(ISNUMBER(Inputs!C13),Inputs!C13+MAX(0,(Inputs!B6-Inputs!D13)*Inputs!E13),"-")</f>
        <v>3000</v>
      </c>
      <c r="D6" s="33" t="n">
        <f aca="false">IF(ISNUMBER(C6),C6*(1+Inputs!B9),"-")</f>
        <v>3300</v>
      </c>
      <c r="E6" s="33" t="n">
        <f aca="false">IF(ISNUMBER(D6),D6*(1+Inputs!B9),"-")</f>
        <v>3630</v>
      </c>
      <c r="F6" s="34" t="n">
        <f aca="false">IF(ISNUMBER(C6),C6+D6+E6,"-")</f>
        <v>9930</v>
      </c>
      <c r="G6" s="35" t="n">
        <f aca="false">IF(AND(ISNUMBER(C6),Inputs!B6&gt;0),C6/Inputs!B6,"-")</f>
        <v>6</v>
      </c>
    </row>
    <row r="7" customFormat="false" ht="25.5" hidden="false" customHeight="true" outlineLevel="0" collapsed="false">
      <c r="A7" s="36" t="str">
        <f aca="false">Inputs!A14</f>
        <v>Accredible</v>
      </c>
      <c r="B7" s="15" t="s">
        <v>62</v>
      </c>
      <c r="C7" s="37" t="n">
        <f aca="false">IF(ISNUMBER(Inputs!C14),Inputs!C14+MAX(0,(Inputs!B6-Inputs!D14)*Inputs!E14),"-")</f>
        <v>1991</v>
      </c>
      <c r="D7" s="37" t="n">
        <f aca="false">IF(ISNUMBER(C7),C7*(1+Inputs!B9),"-")</f>
        <v>2190.1</v>
      </c>
      <c r="E7" s="37" t="n">
        <f aca="false">IF(ISNUMBER(D7),D7*(1+Inputs!B9),"-")</f>
        <v>2409.11</v>
      </c>
      <c r="F7" s="38" t="n">
        <f aca="false">IF(ISNUMBER(C7),C7+D7+E7,"-")</f>
        <v>6590.21</v>
      </c>
      <c r="G7" s="39" t="n">
        <f aca="false">IF(AND(ISNUMBER(C7),Inputs!B6&gt;0),C7/Inputs!B6,"-")</f>
        <v>3.982</v>
      </c>
    </row>
    <row r="8" customFormat="false" ht="25.5" hidden="false" customHeight="true" outlineLevel="0" collapsed="false">
      <c r="A8" s="32" t="str">
        <f aca="false">Inputs!A15</f>
        <v>Certifier</v>
      </c>
      <c r="B8" s="20" t="s">
        <v>63</v>
      </c>
      <c r="C8" s="33" t="n">
        <f aca="false">IF(ISNUMBER(Inputs!C15),Inputs!C15+MAX(0,(Inputs!B8-Inputs!D15)*Inputs!E15),"-")</f>
        <v>804</v>
      </c>
      <c r="D8" s="33" t="n">
        <f aca="false">IF(ISNUMBER(C8),C8*(1+Inputs!B9),"-")</f>
        <v>884.4</v>
      </c>
      <c r="E8" s="33" t="n">
        <f aca="false">IF(ISNUMBER(D8),D8*(1+Inputs!B9),"-")</f>
        <v>972.84</v>
      </c>
      <c r="F8" s="34" t="n">
        <f aca="false">IF(ISNUMBER(C8),C8+D8+E8,"-")</f>
        <v>2661.24</v>
      </c>
      <c r="G8" s="35" t="n">
        <f aca="false">IF(AND(ISNUMBER(C8),Inputs!B6&gt;0),C8/Inputs!B6,"-")</f>
        <v>1.608</v>
      </c>
    </row>
    <row r="9" customFormat="false" ht="25.5" hidden="false" customHeight="true" outlineLevel="0" collapsed="false">
      <c r="A9" s="36" t="str">
        <f aca="false">Inputs!A16</f>
        <v>Sertifier</v>
      </c>
      <c r="B9" s="15" t="s">
        <v>62</v>
      </c>
      <c r="C9" s="37" t="n">
        <f aca="false">IF(ISNUMBER(Inputs!C16),Inputs!C16+MAX(0,(Inputs!B6-Inputs!D16)*Inputs!E16),"-")</f>
        <v>900</v>
      </c>
      <c r="D9" s="37" t="n">
        <f aca="false">IF(ISNUMBER(C9),C9*(1+Inputs!B9),"-")</f>
        <v>990</v>
      </c>
      <c r="E9" s="37" t="n">
        <f aca="false">IF(ISNUMBER(D9),D9*(1+Inputs!B9),"-")</f>
        <v>1089</v>
      </c>
      <c r="F9" s="38" t="n">
        <f aca="false">IF(ISNUMBER(C9),C9+D9+E9,"-")</f>
        <v>2979</v>
      </c>
      <c r="G9" s="39" t="n">
        <f aca="false">IF(AND(ISNUMBER(C9),Inputs!B6&gt;0),C9/Inputs!B6,"-")</f>
        <v>1.8</v>
      </c>
    </row>
    <row r="10" customFormat="false" ht="25.5" hidden="false" customHeight="true" outlineLevel="0" collapsed="false">
      <c r="A10" s="32" t="str">
        <f aca="false">Inputs!A17</f>
        <v>Virtualbadge.io</v>
      </c>
      <c r="B10" s="20" t="s">
        <v>64</v>
      </c>
      <c r="C10" s="33" t="n">
        <f aca="false">IF(ISNUMBER(Inputs!C17),Inputs!C17,"-")</f>
        <v>708</v>
      </c>
      <c r="D10" s="33" t="n">
        <f aca="false">IF(ISNUMBER(C10),C10*(1+Inputs!B9),"-")</f>
        <v>778.8</v>
      </c>
      <c r="E10" s="33" t="n">
        <f aca="false">IF(ISNUMBER(D10),D10*(1+Inputs!B9),"-")</f>
        <v>856.68</v>
      </c>
      <c r="F10" s="34" t="n">
        <f aca="false">IF(ISNUMBER(C10),C10+D10+E10,"-")</f>
        <v>2343.48</v>
      </c>
      <c r="G10" s="35" t="n">
        <f aca="false">IF(AND(ISNUMBER(C10),Inputs!B6&gt;0),C10/Inputs!B6,"-")</f>
        <v>1.416</v>
      </c>
    </row>
    <row r="11" customFormat="false" ht="25.5" hidden="false" customHeight="true" outlineLevel="0" collapsed="false">
      <c r="A11" s="36" t="str">
        <f aca="false">Inputs!A18</f>
        <v>CertifyMe</v>
      </c>
      <c r="B11" s="15" t="s">
        <v>63</v>
      </c>
      <c r="C11" s="37" t="n">
        <f aca="false">IF(ISNUMBER(Inputs!C18),Inputs!C18+MAX(0,(Inputs!B8-Inputs!D18)*Inputs!E18),"-")</f>
        <v>780</v>
      </c>
      <c r="D11" s="37" t="n">
        <f aca="false">IF(ISNUMBER(C11),C11*(1+Inputs!B9),"-")</f>
        <v>858</v>
      </c>
      <c r="E11" s="37" t="n">
        <f aca="false">IF(ISNUMBER(D11),D11*(1+Inputs!B9),"-")</f>
        <v>943.8</v>
      </c>
      <c r="F11" s="38" t="n">
        <f aca="false">IF(ISNUMBER(C11),C11+D11+E11,"-")</f>
        <v>2581.8</v>
      </c>
      <c r="G11" s="39" t="n">
        <f aca="false">IF(AND(ISNUMBER(C11),Inputs!B6&gt;0),C11/Inputs!B6,"-")</f>
        <v>1.56</v>
      </c>
    </row>
    <row r="12" customFormat="false" ht="25.5" hidden="false" customHeight="true" outlineLevel="0" collapsed="false">
      <c r="A12" s="32" t="str">
        <f aca="false">Inputs!A19</f>
        <v>Certopus</v>
      </c>
      <c r="B12" s="20" t="s">
        <v>64</v>
      </c>
      <c r="C12" s="33" t="n">
        <f aca="false">IF(ISNUMBER(Inputs!C19),Inputs!C19,"-")</f>
        <v>348</v>
      </c>
      <c r="D12" s="33" t="n">
        <f aca="false">IF(ISNUMBER(C12),C12*(1+Inputs!B9),"-")</f>
        <v>382.8</v>
      </c>
      <c r="E12" s="33" t="n">
        <f aca="false">IF(ISNUMBER(D12),D12*(1+Inputs!B9),"-")</f>
        <v>421.08</v>
      </c>
      <c r="F12" s="34" t="n">
        <f aca="false">IF(ISNUMBER(C12),C12+D12+E12,"-")</f>
        <v>1151.88</v>
      </c>
      <c r="G12" s="35" t="n">
        <f aca="false">IF(AND(ISNUMBER(C12),Inputs!B6&gt;0),C12/Inputs!B6,"-")</f>
        <v>0.696</v>
      </c>
    </row>
    <row r="13" customFormat="false" ht="25.5" hidden="false" customHeight="true" outlineLevel="0" collapsed="false">
      <c r="A13" s="36" t="str">
        <f aca="false">Inputs!A20</f>
        <v>Give My Certificate</v>
      </c>
      <c r="B13" s="15" t="s">
        <v>64</v>
      </c>
      <c r="C13" s="37" t="n">
        <f aca="false">IF(ISNUMBER(Inputs!C20),Inputs!C20,"-")</f>
        <v>120</v>
      </c>
      <c r="D13" s="37" t="n">
        <f aca="false">IF(ISNUMBER(C13),C13*(1+Inputs!B9),"-")</f>
        <v>132</v>
      </c>
      <c r="E13" s="37" t="n">
        <f aca="false">IF(ISNUMBER(D13),D13*(1+Inputs!B9),"-")</f>
        <v>145.2</v>
      </c>
      <c r="F13" s="38" t="n">
        <f aca="false">IF(ISNUMBER(C13),C13+D13+E13,"-")</f>
        <v>397.2</v>
      </c>
      <c r="G13" s="39" t="n">
        <f aca="false">IF(AND(ISNUMBER(C13),Inputs!B6&gt;0),C13/Inputs!B6,"-")</f>
        <v>0.24</v>
      </c>
    </row>
    <row r="14" customFormat="false" ht="25.5" hidden="false" customHeight="true" outlineLevel="0" collapsed="false">
      <c r="A14" s="32" t="str">
        <f aca="false">Inputs!A21</f>
        <v>BadgeCert</v>
      </c>
      <c r="B14" s="20" t="s">
        <v>65</v>
      </c>
      <c r="C14" s="33" t="s">
        <v>66</v>
      </c>
      <c r="D14" s="40" t="s">
        <v>67</v>
      </c>
      <c r="E14" s="40" t="s">
        <v>67</v>
      </c>
      <c r="F14" s="41" t="s">
        <v>67</v>
      </c>
      <c r="G14" s="40" t="s">
        <v>67</v>
      </c>
    </row>
    <row r="15" customFormat="false" ht="21.75" hidden="false" customHeight="true" outlineLevel="0" collapsed="false">
      <c r="A15" s="42" t="s">
        <v>68</v>
      </c>
      <c r="B15" s="43"/>
      <c r="C15" s="44" t="n">
        <f aca="false">MIN(IF(ISNUMBER(C6:C14),C6:C14))</f>
        <v>0</v>
      </c>
      <c r="D15" s="44" t="n">
        <f aca="false">MIN(IF(ISNUMBER(D6:D14),D6:D14))</f>
        <v>0</v>
      </c>
      <c r="E15" s="44" t="n">
        <f aca="false">MIN(IF(ISNUMBER(E6:E14),E6:E14))</f>
        <v>0</v>
      </c>
      <c r="F15" s="44" t="n">
        <f aca="false">MIN(IF(ISNUMBER(F6:F14),F6:F14))</f>
        <v>0</v>
      </c>
      <c r="G15" s="45" t="n">
        <f aca="false">MIN(IF(ISNUMBER(G6:G14),G6:G14))</f>
        <v>0</v>
      </c>
    </row>
    <row r="16" customFormat="false" ht="21.75" hidden="false" customHeight="true" outlineLevel="0" collapsed="false">
      <c r="A16" s="46" t="s">
        <v>69</v>
      </c>
      <c r="B16" s="47"/>
      <c r="C16" s="48" t="str">
        <f aca="false">INDEX(A6:A13,MATCH(MIN(C6:C13),C6:C13,0))</f>
        <v>Give My Certificate</v>
      </c>
      <c r="D16" s="47"/>
      <c r="E16" s="47"/>
      <c r="F16" s="48" t="str">
        <f aca="false">INDEX(A6:A13,MATCH(MIN(F6:F13),F6:F13,0))</f>
        <v>Give My Certificate</v>
      </c>
      <c r="G16" s="47"/>
    </row>
    <row r="18" customFormat="false" ht="49.5" hidden="false" customHeight="true" outlineLevel="0" collapsed="false">
      <c r="A18" s="49" t="s">
        <v>70</v>
      </c>
      <c r="B18" s="49"/>
      <c r="C18" s="49"/>
      <c r="D18" s="49"/>
      <c r="E18" s="49"/>
      <c r="F18" s="49"/>
      <c r="G18" s="49"/>
    </row>
  </sheetData>
  <mergeCells count="4">
    <mergeCell ref="A1:G1"/>
    <mergeCell ref="A2:G2"/>
    <mergeCell ref="A3:A4"/>
    <mergeCell ref="A18:G18"/>
  </mergeCells>
  <conditionalFormatting sqref="C6:C14">
    <cfRule type="expression" priority="2" aboveAverage="0" equalAverage="0" bottom="0" percent="0" rank="0" text="" dxfId="0">
      <formula>AND(ISNUMBER(C6),C6=MIN(IF(ISNUMBER(C6:C14),C6:C14)))</formula>
    </cfRule>
    <cfRule type="expression" priority="3" aboveAverage="0" equalAverage="0" bottom="0" percent="0" rank="0" text="" dxfId="1">
      <formula>AND(ISNUMBER(C6),C6=MAX(IF(ISNUMBER(C6:C14),C6:C14)))</formula>
    </cfRule>
  </conditionalFormatting>
  <conditionalFormatting sqref="D6:D14">
    <cfRule type="expression" priority="4" aboveAverage="0" equalAverage="0" bottom="0" percent="0" rank="0" text="" dxfId="0">
      <formula>AND(ISNUMBER(D6),D6=MIN(IF(ISNUMBER(D6:D14),D6:D14)))</formula>
    </cfRule>
    <cfRule type="expression" priority="5" aboveAverage="0" equalAverage="0" bottom="0" percent="0" rank="0" text="" dxfId="1">
      <formula>AND(ISNUMBER(D6),D6=MAX(IF(ISNUMBER(D6:D14),D6:D14)))</formula>
    </cfRule>
  </conditionalFormatting>
  <conditionalFormatting sqref="E6:E14">
    <cfRule type="expression" priority="6" aboveAverage="0" equalAverage="0" bottom="0" percent="0" rank="0" text="" dxfId="0">
      <formula>AND(ISNUMBER(E6),E6=MIN(IF(ISNUMBER(E6:E14),E6:E14)))</formula>
    </cfRule>
    <cfRule type="expression" priority="7" aboveAverage="0" equalAverage="0" bottom="0" percent="0" rank="0" text="" dxfId="1">
      <formula>AND(ISNUMBER(E6),E6=MAX(IF(ISNUMBER(E6:E14),E6:E14)))</formula>
    </cfRule>
  </conditionalFormatting>
  <conditionalFormatting sqref="F6:F14">
    <cfRule type="expression" priority="8" aboveAverage="0" equalAverage="0" bottom="0" percent="0" rank="0" text="" dxfId="0">
      <formula>AND(ISNUMBER(F6),F6=MIN(IF(ISNUMBER(F6:F14),F6:F14)))</formula>
    </cfRule>
    <cfRule type="expression" priority="9" aboveAverage="0" equalAverage="0" bottom="0" percent="0" rank="0" text="" dxfId="1">
      <formula>AND(ISNUMBER(F6),F6=MAX(IF(ISNUMBER(F6:F14),F6:F14)))</formula>
    </cfRule>
  </conditionalFormatting>
  <conditionalFormatting sqref="G6:G14">
    <cfRule type="expression" priority="10" aboveAverage="0" equalAverage="0" bottom="0" percent="0" rank="0" text="" dxfId="0">
      <formula>AND(ISNUMBER(G6),G6=MIN(IF(ISNUMBER(G6:G14),G6:G14)))</formula>
    </cfRule>
    <cfRule type="expression" priority="11" aboveAverage="0" equalAverage="0" bottom="0" percent="0" rank="0" text="" dxfId="1">
      <formula>AND(ISNUMBER(G6),G6=MAX(IF(ISNUMBER(G6:G14),G6:G14)))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5"/>
    <col collapsed="false" customWidth="true" hidden="false" outlineLevel="0" max="7" min="7" style="1" width="22"/>
  </cols>
  <sheetData>
    <row r="1" customFormat="false" ht="36" hidden="false" customHeight="true" outlineLevel="0" collapsed="false">
      <c r="A1" s="26" t="s">
        <v>71</v>
      </c>
      <c r="B1" s="26"/>
      <c r="C1" s="26"/>
      <c r="D1" s="26"/>
      <c r="E1" s="26"/>
      <c r="F1" s="26"/>
      <c r="G1" s="26"/>
    </row>
    <row r="2" customFormat="false" ht="15" hidden="false" customHeight="true" outlineLevel="0" collapsed="false">
      <c r="A2" s="27" t="s">
        <v>72</v>
      </c>
      <c r="B2" s="27"/>
      <c r="C2" s="27"/>
      <c r="D2" s="27"/>
      <c r="E2" s="27"/>
      <c r="F2" s="27"/>
      <c r="G2" s="27"/>
    </row>
    <row r="4" customFormat="false" ht="15" hidden="false" customHeight="true" outlineLevel="0" collapsed="false">
      <c r="A4" s="50" t="s">
        <v>73</v>
      </c>
      <c r="B4" s="50"/>
      <c r="C4" s="50"/>
      <c r="D4" s="50"/>
      <c r="E4" s="50"/>
      <c r="F4" s="50"/>
      <c r="G4" s="50"/>
    </row>
    <row r="5" customFormat="false" ht="21.75" hidden="false" customHeight="true" outlineLevel="0" collapsed="false">
      <c r="A5" s="13" t="s">
        <v>74</v>
      </c>
      <c r="B5" s="13" t="s">
        <v>75</v>
      </c>
      <c r="C5" s="13" t="s">
        <v>76</v>
      </c>
      <c r="D5" s="13" t="s">
        <v>77</v>
      </c>
      <c r="E5" s="13" t="s">
        <v>78</v>
      </c>
      <c r="F5" s="13" t="s">
        <v>79</v>
      </c>
      <c r="G5" s="13" t="s">
        <v>5</v>
      </c>
    </row>
    <row r="6" customFormat="false" ht="19.5" hidden="false" customHeight="true" outlineLevel="0" collapsed="false">
      <c r="A6" s="51" t="s">
        <v>80</v>
      </c>
      <c r="B6" s="52" t="n">
        <v>500</v>
      </c>
      <c r="C6" s="53" t="n">
        <v>3000</v>
      </c>
      <c r="D6" s="53" t="n">
        <v>500</v>
      </c>
      <c r="E6" s="53" t="n">
        <f aca="false">C6+D6</f>
        <v>3500</v>
      </c>
      <c r="F6" s="54" t="n">
        <f aca="false">C6/B6</f>
        <v>6</v>
      </c>
      <c r="G6" s="55" t="s">
        <v>81</v>
      </c>
    </row>
    <row r="7" customFormat="false" ht="19.5" hidden="false" customHeight="true" outlineLevel="0" collapsed="false">
      <c r="A7" s="56" t="s">
        <v>82</v>
      </c>
      <c r="B7" s="57" t="n">
        <v>1000</v>
      </c>
      <c r="C7" s="58" t="n">
        <v>5000</v>
      </c>
      <c r="D7" s="58" t="n">
        <v>1000</v>
      </c>
      <c r="E7" s="58" t="n">
        <f aca="false">C7+D7</f>
        <v>6000</v>
      </c>
      <c r="F7" s="59" t="n">
        <f aca="false">C7/B7</f>
        <v>5</v>
      </c>
      <c r="G7" s="60"/>
    </row>
    <row r="8" customFormat="false" ht="19.5" hidden="false" customHeight="true" outlineLevel="0" collapsed="false">
      <c r="A8" s="51" t="s">
        <v>83</v>
      </c>
      <c r="B8" s="52" t="n">
        <v>2500</v>
      </c>
      <c r="C8" s="53" t="n">
        <v>8500</v>
      </c>
      <c r="D8" s="53" t="n">
        <v>1000</v>
      </c>
      <c r="E8" s="53" t="n">
        <f aca="false">C8+D8</f>
        <v>9500</v>
      </c>
      <c r="F8" s="54" t="n">
        <f aca="false">C8/B8</f>
        <v>3.4</v>
      </c>
      <c r="G8" s="55" t="s">
        <v>84</v>
      </c>
    </row>
    <row r="9" customFormat="false" ht="19.5" hidden="false" customHeight="true" outlineLevel="0" collapsed="false">
      <c r="A9" s="56" t="s">
        <v>85</v>
      </c>
      <c r="B9" s="57" t="n">
        <v>5000</v>
      </c>
      <c r="C9" s="58" t="n">
        <v>11000</v>
      </c>
      <c r="D9" s="58" t="n">
        <v>1000</v>
      </c>
      <c r="E9" s="58" t="n">
        <f aca="false">C9+D9</f>
        <v>12000</v>
      </c>
      <c r="F9" s="59" t="n">
        <f aca="false">C9/B9</f>
        <v>2.2</v>
      </c>
      <c r="G9" s="60"/>
    </row>
    <row r="10" customFormat="false" ht="19.5" hidden="false" customHeight="true" outlineLevel="0" collapsed="false">
      <c r="A10" s="51" t="s">
        <v>86</v>
      </c>
      <c r="B10" s="52" t="n">
        <v>10000</v>
      </c>
      <c r="C10" s="53" t="n">
        <v>20000</v>
      </c>
      <c r="D10" s="53" t="n">
        <v>5000</v>
      </c>
      <c r="E10" s="53" t="n">
        <f aca="false">C10+D10</f>
        <v>25000</v>
      </c>
      <c r="F10" s="54" t="n">
        <f aca="false">C10/B10</f>
        <v>2</v>
      </c>
      <c r="G10" s="55" t="s">
        <v>87</v>
      </c>
    </row>
    <row r="13" customFormat="false" ht="15" hidden="false" customHeight="true" outlineLevel="0" collapsed="false">
      <c r="A13" s="50" t="s">
        <v>88</v>
      </c>
      <c r="B13" s="50"/>
      <c r="C13" s="50"/>
      <c r="D13" s="50"/>
      <c r="E13" s="50"/>
      <c r="F13" s="50"/>
      <c r="G13" s="50"/>
    </row>
    <row r="14" customFormat="false" ht="21.75" hidden="false" customHeight="true" outlineLevel="0" collapsed="false">
      <c r="A14" s="13" t="s">
        <v>89</v>
      </c>
      <c r="B14" s="13" t="s">
        <v>90</v>
      </c>
      <c r="C14" s="13" t="s">
        <v>91</v>
      </c>
      <c r="D14" s="13" t="s">
        <v>92</v>
      </c>
      <c r="E14" s="13" t="s">
        <v>93</v>
      </c>
      <c r="F14" s="13" t="s">
        <v>94</v>
      </c>
      <c r="G14" s="13" t="s">
        <v>5</v>
      </c>
    </row>
    <row r="15" customFormat="false" ht="19.5" hidden="false" customHeight="true" outlineLevel="0" collapsed="false">
      <c r="A15" s="56" t="s">
        <v>95</v>
      </c>
      <c r="B15" s="57" t="n">
        <v>1000</v>
      </c>
      <c r="C15" s="58" t="n">
        <v>75</v>
      </c>
      <c r="D15" s="58" t="n">
        <f aca="false">C15*12</f>
        <v>900</v>
      </c>
      <c r="E15" s="59" t="n">
        <f aca="false">D15/B15</f>
        <v>0.9</v>
      </c>
      <c r="F15" s="60" t="s">
        <v>96</v>
      </c>
      <c r="G15" s="60"/>
    </row>
    <row r="16" customFormat="false" ht="19.5" hidden="false" customHeight="true" outlineLevel="0" collapsed="false">
      <c r="A16" s="51" t="s">
        <v>97</v>
      </c>
      <c r="B16" s="52" t="n">
        <v>5000</v>
      </c>
      <c r="C16" s="53" t="n">
        <v>167</v>
      </c>
      <c r="D16" s="53" t="n">
        <f aca="false">C16*12</f>
        <v>2004</v>
      </c>
      <c r="E16" s="54" t="n">
        <f aca="false">D16/B16</f>
        <v>0.4008</v>
      </c>
      <c r="F16" s="55" t="s">
        <v>98</v>
      </c>
      <c r="G16" s="55"/>
    </row>
    <row r="17" customFormat="false" ht="19.5" hidden="false" customHeight="true" outlineLevel="0" collapsed="false">
      <c r="A17" s="56" t="s">
        <v>86</v>
      </c>
      <c r="B17" s="60" t="s">
        <v>46</v>
      </c>
      <c r="C17" s="58"/>
      <c r="D17" s="58"/>
      <c r="E17" s="59"/>
      <c r="F17" s="60" t="s">
        <v>99</v>
      </c>
      <c r="G17" s="60" t="s">
        <v>100</v>
      </c>
    </row>
    <row r="20" customFormat="false" ht="15" hidden="false" customHeight="true" outlineLevel="0" collapsed="false">
      <c r="A20" s="61" t="s">
        <v>101</v>
      </c>
      <c r="B20" s="61"/>
      <c r="C20" s="61"/>
      <c r="D20" s="61"/>
      <c r="E20" s="61"/>
      <c r="F20" s="61"/>
      <c r="G20" s="61"/>
    </row>
    <row r="21" customFormat="false" ht="21.75" hidden="false" customHeight="true" outlineLevel="0" collapsed="false">
      <c r="A21" s="13" t="s">
        <v>89</v>
      </c>
      <c r="B21" s="13" t="s">
        <v>90</v>
      </c>
      <c r="C21" s="13" t="s">
        <v>92</v>
      </c>
      <c r="D21" s="13" t="s">
        <v>102</v>
      </c>
      <c r="E21" s="13" t="s">
        <v>93</v>
      </c>
      <c r="F21" s="13" t="s">
        <v>5</v>
      </c>
      <c r="G21" s="13"/>
    </row>
    <row r="22" customFormat="false" ht="27.75" hidden="false" customHeight="true" outlineLevel="0" collapsed="false">
      <c r="A22" s="20" t="s">
        <v>103</v>
      </c>
      <c r="B22" s="55" t="n">
        <v>250</v>
      </c>
      <c r="C22" s="53" t="n">
        <v>996</v>
      </c>
      <c r="D22" s="20" t="s">
        <v>104</v>
      </c>
      <c r="E22" s="54" t="n">
        <f aca="false">C22/B22</f>
        <v>3.984</v>
      </c>
      <c r="F22" s="20" t="s">
        <v>105</v>
      </c>
      <c r="G22" s="20"/>
    </row>
    <row r="23" customFormat="false" ht="27.75" hidden="false" customHeight="true" outlineLevel="0" collapsed="false">
      <c r="A23" s="15" t="s">
        <v>106</v>
      </c>
      <c r="B23" s="60" t="s">
        <v>107</v>
      </c>
      <c r="C23" s="60" t="s">
        <v>46</v>
      </c>
      <c r="D23" s="15" t="s">
        <v>108</v>
      </c>
      <c r="E23" s="60" t="s">
        <v>34</v>
      </c>
      <c r="F23" s="15" t="s">
        <v>109</v>
      </c>
      <c r="G23" s="15"/>
    </row>
    <row r="24" customFormat="false" ht="27.75" hidden="false" customHeight="true" outlineLevel="0" collapsed="false">
      <c r="A24" s="20" t="s">
        <v>82</v>
      </c>
      <c r="B24" s="55" t="s">
        <v>110</v>
      </c>
      <c r="C24" s="55" t="s">
        <v>46</v>
      </c>
      <c r="D24" s="20" t="s">
        <v>108</v>
      </c>
      <c r="E24" s="55" t="s">
        <v>34</v>
      </c>
      <c r="F24" s="20" t="s">
        <v>111</v>
      </c>
      <c r="G24" s="20"/>
    </row>
    <row r="27" customFormat="false" ht="15" hidden="false" customHeight="true" outlineLevel="0" collapsed="false">
      <c r="A27" s="50" t="s">
        <v>112</v>
      </c>
      <c r="B27" s="50"/>
      <c r="C27" s="50"/>
      <c r="D27" s="50"/>
      <c r="E27" s="50"/>
      <c r="F27" s="50"/>
      <c r="G27" s="50"/>
    </row>
    <row r="28" customFormat="false" ht="21.75" hidden="false" customHeight="true" outlineLevel="0" collapsed="false">
      <c r="A28" s="13" t="s">
        <v>89</v>
      </c>
      <c r="B28" s="13" t="s">
        <v>113</v>
      </c>
      <c r="C28" s="13" t="s">
        <v>92</v>
      </c>
      <c r="D28" s="13" t="s">
        <v>114</v>
      </c>
      <c r="E28" s="13" t="s">
        <v>115</v>
      </c>
      <c r="F28" s="13" t="s">
        <v>5</v>
      </c>
      <c r="G28" s="13"/>
    </row>
    <row r="29" customFormat="false" ht="19.5" hidden="false" customHeight="true" outlineLevel="0" collapsed="false">
      <c r="A29" s="15" t="s">
        <v>116</v>
      </c>
      <c r="B29" s="57" t="n">
        <v>250</v>
      </c>
      <c r="C29" s="58" t="n">
        <v>0</v>
      </c>
      <c r="D29" s="58" t="n">
        <v>0</v>
      </c>
      <c r="E29" s="59" t="n">
        <f aca="false">C29/B29</f>
        <v>0</v>
      </c>
      <c r="F29" s="15" t="s">
        <v>117</v>
      </c>
      <c r="G29" s="15"/>
    </row>
    <row r="30" customFormat="false" ht="19.5" hidden="false" customHeight="true" outlineLevel="0" collapsed="false">
      <c r="A30" s="20" t="s">
        <v>118</v>
      </c>
      <c r="B30" s="52" t="n">
        <v>1000</v>
      </c>
      <c r="C30" s="53" t="n">
        <v>804</v>
      </c>
      <c r="D30" s="53" t="n">
        <v>67</v>
      </c>
      <c r="E30" s="54" t="n">
        <f aca="false">C30/B30</f>
        <v>0.804</v>
      </c>
      <c r="F30" s="20" t="s">
        <v>119</v>
      </c>
      <c r="G30" s="20"/>
    </row>
    <row r="31" customFormat="false" ht="19.5" hidden="false" customHeight="true" outlineLevel="0" collapsed="false">
      <c r="A31" s="15" t="s">
        <v>120</v>
      </c>
      <c r="B31" s="57" t="n">
        <v>5000</v>
      </c>
      <c r="C31" s="58" t="n">
        <v>4068</v>
      </c>
      <c r="D31" s="58" t="n">
        <v>339</v>
      </c>
      <c r="E31" s="59" t="n">
        <f aca="false">C31/B31</f>
        <v>0.8136</v>
      </c>
      <c r="F31" s="15" t="s">
        <v>121</v>
      </c>
      <c r="G31" s="15"/>
    </row>
    <row r="32" customFormat="false" ht="19.5" hidden="false" customHeight="true" outlineLevel="0" collapsed="false">
      <c r="A32" s="20" t="s">
        <v>86</v>
      </c>
      <c r="B32" s="55" t="s">
        <v>46</v>
      </c>
      <c r="C32" s="55" t="s">
        <v>46</v>
      </c>
      <c r="D32" s="55"/>
      <c r="E32" s="55" t="s">
        <v>34</v>
      </c>
      <c r="F32" s="20" t="s">
        <v>100</v>
      </c>
      <c r="G32" s="20"/>
    </row>
  </sheetData>
  <mergeCells count="6">
    <mergeCell ref="A1:G1"/>
    <mergeCell ref="A2:G2"/>
    <mergeCell ref="A4:G4"/>
    <mergeCell ref="A13:G13"/>
    <mergeCell ref="A20:G20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  <col collapsed="false" customWidth="true" hidden="false" outlineLevel="0" max="5" min="5" style="1" width="22"/>
  </cols>
  <sheetData>
    <row r="1" customFormat="false" ht="36" hidden="false" customHeight="true" outlineLevel="0" collapsed="false">
      <c r="A1" s="26" t="s">
        <v>122</v>
      </c>
      <c r="B1" s="26"/>
      <c r="C1" s="26"/>
      <c r="D1" s="26"/>
      <c r="E1" s="26"/>
    </row>
    <row r="2" customFormat="false" ht="15" hidden="false" customHeight="true" outlineLevel="0" collapsed="false">
      <c r="A2" s="27" t="s">
        <v>123</v>
      </c>
      <c r="B2" s="27"/>
      <c r="C2" s="27"/>
      <c r="D2" s="27"/>
      <c r="E2" s="27"/>
    </row>
    <row r="3" customFormat="false" ht="15" hidden="false" customHeight="true" outlineLevel="0" collapsed="false">
      <c r="A3" s="62" t="str">
        <f aca="false">"Model volume: "&amp;TEXT('Scenario Calculator'!C4,"#,##0")&amp;" recipients | "&amp;TEXT('Scenario Calculator'!D4,"0.0")&amp;" creds/recipient | "&amp;TEXT('Scenario Calculator'!E4,"#,##0")&amp;" total credentials"</f>
        <v>Model volume: 2 recipients | 750.0 creds/recipient | 0 total credentials</v>
      </c>
      <c r="B3" s="62"/>
      <c r="C3" s="62"/>
      <c r="D3" s="62"/>
      <c r="E3" s="62"/>
    </row>
    <row r="4" customFormat="false" ht="19.5" hidden="false" customHeight="true" outlineLevel="0" collapsed="false"/>
    <row r="5" customFormat="false" ht="21.75" hidden="false" customHeight="true" outlineLevel="0" collapsed="false">
      <c r="A5" s="6" t="s">
        <v>15</v>
      </c>
      <c r="B5" s="6" t="s">
        <v>124</v>
      </c>
      <c r="C5" s="6" t="s">
        <v>125</v>
      </c>
      <c r="D5" s="6" t="s">
        <v>59</v>
      </c>
      <c r="E5" s="6" t="s">
        <v>126</v>
      </c>
    </row>
    <row r="6" customFormat="false" ht="21.75" hidden="false" customHeight="true" outlineLevel="0" collapsed="false">
      <c r="A6" s="32" t="str">
        <f aca="false">'Scenario Calculator'!A6</f>
        <v>Credly (Pearson)</v>
      </c>
      <c r="B6" s="63" t="n">
        <f aca="false">'Scenario Calculator'!C6</f>
        <v>3000</v>
      </c>
      <c r="C6" s="63" t="n">
        <f aca="false">'Scenario Calculator'!D6</f>
        <v>3300</v>
      </c>
      <c r="D6" s="63" t="n">
        <f aca="false">'Scenario Calculator'!F6</f>
        <v>9930</v>
      </c>
      <c r="E6" s="7" t="s">
        <v>127</v>
      </c>
    </row>
    <row r="7" customFormat="false" ht="21.75" hidden="false" customHeight="true" outlineLevel="0" collapsed="false">
      <c r="A7" s="36" t="str">
        <f aca="false">'Scenario Calculator'!A7</f>
        <v>Accredible</v>
      </c>
      <c r="B7" s="64" t="n">
        <f aca="false">'Scenario Calculator'!C7</f>
        <v>1991</v>
      </c>
      <c r="C7" s="64" t="n">
        <f aca="false">'Scenario Calculator'!D7</f>
        <v>2190.1</v>
      </c>
      <c r="D7" s="64" t="n">
        <f aca="false">'Scenario Calculator'!F7</f>
        <v>6590.21</v>
      </c>
      <c r="E7" s="65" t="s">
        <v>128</v>
      </c>
    </row>
    <row r="8" customFormat="false" ht="21.75" hidden="false" customHeight="true" outlineLevel="0" collapsed="false">
      <c r="A8" s="32" t="str">
        <f aca="false">'Scenario Calculator'!A8</f>
        <v>Certifier</v>
      </c>
      <c r="B8" s="63" t="n">
        <f aca="false">'Scenario Calculator'!C8</f>
        <v>804</v>
      </c>
      <c r="C8" s="63" t="n">
        <f aca="false">'Scenario Calculator'!D8</f>
        <v>884.4</v>
      </c>
      <c r="D8" s="63" t="n">
        <f aca="false">'Scenario Calculator'!F8</f>
        <v>2661.24</v>
      </c>
      <c r="E8" s="7" t="s">
        <v>129</v>
      </c>
    </row>
    <row r="9" customFormat="false" ht="21.75" hidden="false" customHeight="true" outlineLevel="0" collapsed="false">
      <c r="A9" s="36" t="str">
        <f aca="false">'Scenario Calculator'!A9</f>
        <v>Sertifier</v>
      </c>
      <c r="B9" s="64" t="n">
        <f aca="false">'Scenario Calculator'!C9</f>
        <v>900</v>
      </c>
      <c r="C9" s="64" t="n">
        <f aca="false">'Scenario Calculator'!D9</f>
        <v>990</v>
      </c>
      <c r="D9" s="64" t="n">
        <f aca="false">'Scenario Calculator'!F9</f>
        <v>2979</v>
      </c>
      <c r="E9" s="65" t="s">
        <v>129</v>
      </c>
    </row>
    <row r="10" customFormat="false" ht="21.75" hidden="false" customHeight="true" outlineLevel="0" collapsed="false">
      <c r="A10" s="32" t="str">
        <f aca="false">'Scenario Calculator'!A10</f>
        <v>Virtualbadge.io</v>
      </c>
      <c r="B10" s="63" t="n">
        <f aca="false">'Scenario Calculator'!C10</f>
        <v>708</v>
      </c>
      <c r="C10" s="63" t="n">
        <f aca="false">'Scenario Calculator'!D10</f>
        <v>778.8</v>
      </c>
      <c r="D10" s="63" t="n">
        <f aca="false">'Scenario Calculator'!F10</f>
        <v>2343.48</v>
      </c>
      <c r="E10" s="7" t="s">
        <v>129</v>
      </c>
    </row>
    <row r="11" customFormat="false" ht="21.75" hidden="false" customHeight="true" outlineLevel="0" collapsed="false">
      <c r="A11" s="36" t="str">
        <f aca="false">'Scenario Calculator'!A11</f>
        <v>CertifyMe</v>
      </c>
      <c r="B11" s="64" t="n">
        <f aca="false">'Scenario Calculator'!C11</f>
        <v>780</v>
      </c>
      <c r="C11" s="64" t="n">
        <f aca="false">'Scenario Calculator'!D11</f>
        <v>858</v>
      </c>
      <c r="D11" s="64" t="n">
        <f aca="false">'Scenario Calculator'!F11</f>
        <v>2581.8</v>
      </c>
      <c r="E11" s="65" t="s">
        <v>129</v>
      </c>
    </row>
    <row r="12" customFormat="false" ht="21.75" hidden="false" customHeight="true" outlineLevel="0" collapsed="false">
      <c r="A12" s="32" t="str">
        <f aca="false">'Scenario Calculator'!A12</f>
        <v>Certopus</v>
      </c>
      <c r="B12" s="63" t="n">
        <f aca="false">'Scenario Calculator'!C12</f>
        <v>348</v>
      </c>
      <c r="C12" s="63" t="n">
        <f aca="false">'Scenario Calculator'!D12</f>
        <v>382.8</v>
      </c>
      <c r="D12" s="63" t="n">
        <f aca="false">'Scenario Calculator'!F12</f>
        <v>1151.88</v>
      </c>
      <c r="E12" s="7" t="s">
        <v>129</v>
      </c>
    </row>
    <row r="13" customFormat="false" ht="21.75" hidden="false" customHeight="true" outlineLevel="0" collapsed="false">
      <c r="A13" s="36" t="str">
        <f aca="false">'Scenario Calculator'!A13</f>
        <v>Give My Certificate</v>
      </c>
      <c r="B13" s="64" t="n">
        <f aca="false">'Scenario Calculator'!C13</f>
        <v>120</v>
      </c>
      <c r="C13" s="64" t="n">
        <f aca="false">'Scenario Calculator'!D13</f>
        <v>132</v>
      </c>
      <c r="D13" s="64" t="n">
        <f aca="false">'Scenario Calculator'!F13</f>
        <v>397.2</v>
      </c>
      <c r="E13" s="65" t="s">
        <v>129</v>
      </c>
    </row>
    <row r="14" customFormat="false" ht="21.75" hidden="false" customHeight="true" outlineLevel="0" collapsed="false">
      <c r="A14" s="32" t="str">
        <f aca="false">'Scenario Calculator'!A14</f>
        <v>BadgeCert</v>
      </c>
      <c r="B14" s="63" t="str">
        <f aca="false">'Scenario Calculator'!C14</f>
        <v>"—  (custom quote)"</v>
      </c>
      <c r="C14" s="63" t="str">
        <f aca="false">'Scenario Calculator'!D14</f>
        <v>"—"</v>
      </c>
      <c r="D14" s="63" t="str">
        <f aca="false">'Scenario Calculator'!F14</f>
        <v>"—"</v>
      </c>
      <c r="E14" s="7" t="s">
        <v>127</v>
      </c>
    </row>
    <row r="16" customFormat="false" ht="19.5" hidden="false" customHeight="true" outlineLevel="0" collapsed="false">
      <c r="A16" s="4" t="s">
        <v>130</v>
      </c>
      <c r="B16" s="4"/>
      <c r="C16" s="4"/>
      <c r="D16" s="4"/>
      <c r="E16" s="4"/>
    </row>
    <row r="17" customFormat="false" ht="21.75" hidden="false" customHeight="true" outlineLevel="0" collapsed="false">
      <c r="A17" s="66" t="s">
        <v>131</v>
      </c>
      <c r="B17" s="67" t="str">
        <f aca="false">INDEX('Scenario Calculator'!A6:A13,MATCH(MIN('Scenario Calculator'!C6:C13),'Scenario Calculator'!C6:C13,0))</f>
        <v>Give My Certificate</v>
      </c>
      <c r="C17" s="67"/>
      <c r="D17" s="67"/>
      <c r="E17" s="67"/>
    </row>
    <row r="18" customFormat="false" ht="21.75" hidden="false" customHeight="true" outlineLevel="0" collapsed="false">
      <c r="A18" s="68" t="s">
        <v>132</v>
      </c>
      <c r="B18" s="69" t="str">
        <f aca="false">INDEX('Scenario Calculator'!A6:A13,MATCH(MIN('Scenario Calculator'!F6:F13),'Scenario Calculator'!F6:F13,0))</f>
        <v>Give My Certificate</v>
      </c>
      <c r="C18" s="69"/>
      <c r="D18" s="69"/>
      <c r="E18" s="69"/>
    </row>
    <row r="19" customFormat="false" ht="21.75" hidden="false" customHeight="true" outlineLevel="0" collapsed="false">
      <c r="A19" s="66" t="s">
        <v>133</v>
      </c>
      <c r="B19" s="67" t="str">
        <f aca="false">INDEX('Scenario Calculator'!A6:A13,MATCH(MAX('Scenario Calculator'!C6:C13),'Scenario Calculator'!C6:C13,0))</f>
        <v>Credly (Pearson)</v>
      </c>
      <c r="C19" s="67"/>
      <c r="D19" s="67"/>
      <c r="E19" s="67"/>
    </row>
    <row r="20" customFormat="false" ht="21.75" hidden="false" customHeight="true" outlineLevel="0" collapsed="false">
      <c r="A20" s="68" t="s">
        <v>134</v>
      </c>
      <c r="B20" s="69" t="str">
        <f aca="false">TEXT(MAX(IF(ISNUMBER('Scenario Calculator'!F6:F14),'Scenario Calculator'!F6:F14))-MIN(IF(ISNUMBER('Scenario Calculator'!F6:F14),'Scenario Calculator'!F6:F14)),"$#,##0")&amp;" between cheapest and most expensive"</f>
        <v>$0 between cheapest and most expensive</v>
      </c>
      <c r="C20" s="69"/>
      <c r="D20" s="69"/>
      <c r="E20" s="69"/>
    </row>
  </sheetData>
  <mergeCells count="8">
    <mergeCell ref="A1:E1"/>
    <mergeCell ref="A2:E2"/>
    <mergeCell ref="A3:E3"/>
    <mergeCell ref="A16:E16"/>
    <mergeCell ref="B17:E17"/>
    <mergeCell ref="B18:E18"/>
    <mergeCell ref="B19:E19"/>
    <mergeCell ref="B20:E20"/>
  </mergeCells>
  <conditionalFormatting sqref="B6:B14">
    <cfRule type="expression" priority="2" aboveAverage="0" equalAverage="0" bottom="0" percent="0" rank="0" text="" dxfId="0">
      <formula>AND(ISNUMBER(B6),B6=MIN(IF(ISNUMBER(B6:B14),B6:B14)))</formula>
    </cfRule>
    <cfRule type="expression" priority="3" aboveAverage="0" equalAverage="0" bottom="0" percent="0" rank="0" text="" dxfId="1">
      <formula>AND(ISNUMBER(B6),B6=MAX(IF(ISNUMBER(B6:B14),B6:B14)))</formula>
    </cfRule>
  </conditionalFormatting>
  <conditionalFormatting sqref="D6:D14">
    <cfRule type="expression" priority="4" aboveAverage="0" equalAverage="0" bottom="0" percent="0" rank="0" text="" dxfId="0">
      <formula>AND(ISNUMBER(D6),D6=MIN(IF(ISNUMBER(D6:D14),D6:D14)))</formula>
    </cfRule>
    <cfRule type="expression" priority="5" aboveAverage="0" equalAverage="0" bottom="0" percent="0" rank="0" text="" dxfId="1">
      <formula>AND(ISNUMBER(D6),D6=MAX(IF(ISNUMBER(D6:D14),D6:D14)))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2026-05-12T08:47:32Z</dcterms:created>
  <dc:creator>openpyxl</dc:creator>
  <dc:description/>
  <dc:language>en-US</dc:language>
  <cp:lastModifiedBy/>
  <dcterms:modified xsi:type="dcterms:W3CDTF">2026-05-12T08:47:53Z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